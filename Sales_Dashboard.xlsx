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E372D594-5329-4625-83AF-6AEB4E436C05}" xr6:coauthVersionLast="47" xr6:coauthVersionMax="47" xr10:uidLastSave="{00000000-0000-0000-0000-000000000000}"/>
  <bookViews>
    <workbookView xWindow="-108" yWindow="-108" windowWidth="23256" windowHeight="12456" activeTab="2" xr2:uid="{66789C17-5372-4E31-80E8-913CAF48EB5E}"/>
  </bookViews>
  <sheets>
    <sheet name="PivotTable" sheetId="4" r:id="rId1"/>
    <sheet name="Data" sheetId="1" r:id="rId2"/>
    <sheet name="Dashboard" sheetId="3" r:id="rId3"/>
  </sheets>
  <definedNames>
    <definedName name="_xlnm.Print_Area" localSheetId="2">Dashboard!$A$1:$AH$43</definedName>
    <definedName name="Slicer_Month_Name">#N/A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<sst xmlns="http://schemas.openxmlformats.org/spreadsheetml/2006/main" count="608" uniqueCount="41">
  <si>
    <t>Segment</t>
  </si>
  <si>
    <t>Country</t>
  </si>
  <si>
    <t>Government</t>
  </si>
  <si>
    <t>Canada</t>
  </si>
  <si>
    <t>Germany</t>
  </si>
  <si>
    <t>Midmarket</t>
  </si>
  <si>
    <t>France</t>
  </si>
  <si>
    <t>Mexico</t>
  </si>
  <si>
    <t>Channel Partners</t>
  </si>
  <si>
    <t>Enterprise</t>
  </si>
  <si>
    <t>Small Business</t>
  </si>
  <si>
    <t>United States of America</t>
  </si>
  <si>
    <t>Month Name</t>
  </si>
  <si>
    <t>Units Sold</t>
  </si>
  <si>
    <t xml:space="preserve"> Sales</t>
  </si>
  <si>
    <t>COGS</t>
  </si>
  <si>
    <t>Profit</t>
  </si>
  <si>
    <t>Discount Band</t>
  </si>
  <si>
    <t>None</t>
  </si>
  <si>
    <t>High</t>
  </si>
  <si>
    <t>Low</t>
  </si>
  <si>
    <t>Medium</t>
  </si>
  <si>
    <t>Jan</t>
  </si>
  <si>
    <t>Jun</t>
  </si>
  <si>
    <t>Dec</t>
  </si>
  <si>
    <t>Mar</t>
  </si>
  <si>
    <t>Jul</t>
  </si>
  <si>
    <t>Aug</t>
  </si>
  <si>
    <t>Sep</t>
  </si>
  <si>
    <t>Oct</t>
  </si>
  <si>
    <t>Feb</t>
  </si>
  <si>
    <t>Nov</t>
  </si>
  <si>
    <t>Apr</t>
  </si>
  <si>
    <t>May</t>
  </si>
  <si>
    <t>Row Labels</t>
  </si>
  <si>
    <t>Grand Total</t>
  </si>
  <si>
    <t>Sum of Units Sold</t>
  </si>
  <si>
    <t>Sum of  Sales</t>
  </si>
  <si>
    <t>Sum of Profit</t>
  </si>
  <si>
    <t>Column Labels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</si>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</sst>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quot;k&quot;"/>
  </numFmts>
  <fonts count="3" x14ac:knownFonts="1">
    <font>
      <sz val="11"/>
      <color theme="1"/>
      <name val="Calibri"/>
      <family val="2"/>
      <scheme val="minor"/>
    </font>
    <font>
      <sz val="11"/>
      <color theme="1"/>
      <name val="Calibri"/>
      <family val="2"/>
      <scheme val="minor"/>
    </font>
    <font>
      <b/>
      <sz val="65"/>
      <color theme="1"/>
      <name val="Amasis MT Pro Medium"/>
      <family val="1"/>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1" fontId="0" fillId="0" borderId="0" xfId="0" applyNumberFormat="1"/>
    <xf numFmtId="164"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0" fillId="0" borderId="0" xfId="0" applyAlignment="1">
      <alignment horizontal="right"/>
    </xf>
    <xf numFmtId="2" fontId="0" fillId="0" borderId="0" xfId="0" applyNumberFormat="1" applyAlignment="1">
      <alignment horizontal="center"/>
    </xf>
    <xf numFmtId="2" fontId="0" fillId="0" borderId="0" xfId="0" applyNumberFormat="1" applyAlignment="1">
      <alignment horizontal="right"/>
    </xf>
    <xf numFmtId="2" fontId="0" fillId="0" borderId="0" xfId="0" applyNumberFormat="1" applyAlignment="1">
      <alignment horizontal="left"/>
    </xf>
    <xf numFmtId="10" fontId="0" fillId="0" borderId="0" xfId="0" applyNumberFormat="1"/>
    <xf numFmtId="165" fontId="0" fillId="0" borderId="0" xfId="0" pivotButton="1" applyNumberFormat="1"/>
    <xf numFmtId="165" fontId="0" fillId="0" borderId="0" xfId="0" applyNumberFormat="1" applyAlignment="1">
      <alignment horizontal="left"/>
    </xf>
    <xf numFmtId="0" fontId="0" fillId="2" borderId="0" xfId="0" applyFill="1"/>
    <xf numFmtId="0" fontId="2" fillId="2" borderId="0" xfId="0" applyFont="1" applyFill="1" applyAlignment="1">
      <alignment horizontal="center" readingOrder="1"/>
    </xf>
  </cellXfs>
  <cellStyles count="2">
    <cellStyle name="Currency" xfId="1" builtinId="4"/>
    <cellStyle name="Normal" xfId="0" builtinId="0"/>
  </cellStyles>
  <dxfs count="73">
    <dxf>
      <numFmt numFmtId="165" formatCode="&quot;$&quot;#,&quot;k&quot;"/>
    </dxf>
    <dxf>
      <numFmt numFmtId="14" formatCode="0.00%"/>
    </dxf>
    <dxf>
      <numFmt numFmtId="165" formatCode="&quot;$&quot;#,&quot;k&quot;"/>
    </dxf>
    <dxf>
      <numFmt numFmtId="2" formatCode="0.00"/>
    </dxf>
    <dxf>
      <numFmt numFmtId="165" formatCode="&quot;$&quot;#,&quot;k&quot;"/>
    </dxf>
    <dxf>
      <numFmt numFmtId="2" formatCode="0.00"/>
    </dxf>
    <dxf>
      <numFmt numFmtId="165" formatCode="&quot;$&quot;#,&quot;k&quot;"/>
    </dxf>
    <dxf>
      <numFmt numFmtId="165" formatCode="&quot;$&quot;#,&quot;k&quot;"/>
    </dxf>
    <dxf>
      <numFmt numFmtId="165" formatCode="&quot;$&quot;#,&quot;k&quot;"/>
    </dxf>
    <dxf>
      <numFmt numFmtId="14" formatCode="0.00%"/>
    </dxf>
    <dxf>
      <numFmt numFmtId="165" formatCode="&quot;$&quot;#,&quot;k&quot;"/>
    </dxf>
    <dxf>
      <numFmt numFmtId="14" formatCode="0.00%"/>
    </dxf>
    <dxf>
      <numFmt numFmtId="165" formatCode="&quot;$&quot;#,&quot;k&quot;"/>
    </dxf>
    <dxf>
      <numFmt numFmtId="165" formatCode="&quot;$&quot;#,&quot;k&quot;"/>
    </dxf>
    <dxf>
      <numFmt numFmtId="14" formatCode="0.00%"/>
    </dxf>
    <dxf>
      <numFmt numFmtId="165" formatCode="&quot;$&quot;#,&quot;k&quot;"/>
    </dxf>
    <dxf>
      <numFmt numFmtId="2" formatCode="0.00"/>
    </dxf>
    <dxf>
      <numFmt numFmtId="165" formatCode="&quot;$&quot;#,&quot;k&quot;"/>
    </dxf>
    <dxf>
      <numFmt numFmtId="165" formatCode="&quot;$&quot;#,&quot;k&quot;"/>
    </dxf>
    <dxf>
      <numFmt numFmtId="2" formatCode="0.00"/>
    </dxf>
    <dxf>
      <numFmt numFmtId="165" formatCode="&quot;$&quot;#,&quot;k&quot;"/>
    </dxf>
    <dxf>
      <numFmt numFmtId="14" formatCode="0.00%"/>
    </dxf>
    <dxf>
      <numFmt numFmtId="165" formatCode="&quot;$&quot;#,&quot;k&quot;"/>
    </dxf>
    <dxf>
      <numFmt numFmtId="165" formatCode="&quot;$&quot;#,&quot;k&quot;"/>
    </dxf>
    <dxf>
      <numFmt numFmtId="14" formatCode="0.00%"/>
    </dxf>
    <dxf>
      <numFmt numFmtId="165" formatCode="&quot;$&quot;#,&quot;k&quot;"/>
    </dxf>
    <dxf>
      <numFmt numFmtId="2" formatCode="0.00"/>
    </dxf>
    <dxf>
      <numFmt numFmtId="165" formatCode="&quot;$&quot;#,&quot;k&quot;"/>
    </dxf>
    <dxf>
      <numFmt numFmtId="165" formatCode="&quot;$&quot;#,&quot;k&quot;"/>
    </dxf>
    <dxf>
      <numFmt numFmtId="2" formatCode="0.00"/>
    </dxf>
    <dxf>
      <numFmt numFmtId="165" formatCode="&quot;$&quot;#,&quot;k&quot;"/>
    </dxf>
    <dxf>
      <numFmt numFmtId="14" formatCode="0.00%"/>
    </dxf>
    <dxf>
      <numFmt numFmtId="165" formatCode="&quot;$&quot;#,&quot;k&quot;"/>
    </dxf>
    <dxf>
      <numFmt numFmtId="165" formatCode="&quot;$&quot;#,&quot;k&quot;"/>
    </dxf>
    <dxf>
      <numFmt numFmtId="14" formatCode="0.00%"/>
    </dxf>
    <dxf>
      <numFmt numFmtId="165" formatCode="&quot;$&quot;#,&quot;k&quot;"/>
    </dxf>
    <dxf>
      <numFmt numFmtId="2" formatCode="0.00"/>
    </dxf>
    <dxf>
      <numFmt numFmtId="165" formatCode="&quot;$&quot;#,&quot;k&quot;"/>
    </dxf>
    <dxf>
      <numFmt numFmtId="165" formatCode="&quot;$&quot;#,&quot;k&quot;"/>
    </dxf>
    <dxf>
      <numFmt numFmtId="2" formatCode="0.00"/>
    </dxf>
    <dxf>
      <numFmt numFmtId="165" formatCode="&quot;$&quot;#,&quot;k&quot;"/>
    </dxf>
    <dxf>
      <numFmt numFmtId="14" formatCode="0.00%"/>
    </dxf>
    <dxf>
      <numFmt numFmtId="165" formatCode="&quot;$&quot;#,&quot;k&quot;"/>
    </dxf>
    <dxf>
      <numFmt numFmtId="165" formatCode="&quot;$&quot;#,&quot;k&quot;"/>
    </dxf>
    <dxf>
      <numFmt numFmtId="14" formatCode="0.00%"/>
    </dxf>
    <dxf>
      <numFmt numFmtId="165" formatCode="&quot;$&quot;#,&quot;k&quot;"/>
    </dxf>
    <dxf>
      <numFmt numFmtId="2" formatCode="0.00"/>
    </dxf>
    <dxf>
      <numFmt numFmtId="165" formatCode="&quot;$&quot;#,&quot;k&quot;"/>
    </dxf>
    <dxf>
      <numFmt numFmtId="165" formatCode="&quot;$&quot;#,&quot;k&quot;"/>
    </dxf>
    <dxf>
      <numFmt numFmtId="2" formatCode="0.00"/>
    </dxf>
    <dxf>
      <numFmt numFmtId="165" formatCode="&quot;$&quot;#,&quot;k&quot;"/>
    </dxf>
    <dxf>
      <numFmt numFmtId="165" formatCode="&quot;$&quot;#,&quot;k&quot;"/>
    </dxf>
    <dxf>
      <numFmt numFmtId="165" formatCode="&quot;$&quot;#,&quot;k&quot;"/>
    </dxf>
    <dxf>
      <numFmt numFmtId="14" formatCode="0.00%"/>
    </dxf>
    <dxf>
      <numFmt numFmtId="165" formatCode="&quot;$&quot;#,&quot;k&quot;"/>
    </dxf>
    <dxf>
      <numFmt numFmtId="14" formatCode="0.00%"/>
    </dxf>
    <dxf>
      <numFmt numFmtId="165" formatCode="&quot;$&quot;#,&quot;k&quot;"/>
    </dxf>
    <dxf>
      <numFmt numFmtId="2" formatCode="0.00"/>
    </dxf>
    <dxf>
      <numFmt numFmtId="164" formatCode="&quot;$&quot;#,##0.00"/>
    </dxf>
    <dxf>
      <numFmt numFmtId="164" formatCode="&quot;$&quot;#,##0.00"/>
    </dxf>
    <dxf>
      <numFmt numFmtId="164" formatCode="&quot;$&quot;#,##0.00"/>
    </dxf>
    <dxf>
      <numFmt numFmtId="1" formatCode="0"/>
    </dxf>
    <dxf>
      <numFmt numFmtId="2" formatCode="0.00"/>
      <alignment horizontal="right" vertical="bottom" textRotation="0" wrapText="0" indent="0" justifyLastLine="0" shrinkToFit="0" readingOrder="0"/>
      <protection locked="1" hidden="0"/>
    </dxf>
    <dxf>
      <numFmt numFmtId="14" formatCode="0.00%"/>
    </dxf>
    <dxf>
      <numFmt numFmtId="165" formatCode="&quot;$&quot;#,&quot;k&quot;"/>
    </dxf>
    <dxf>
      <numFmt numFmtId="2" formatCode="0.00"/>
    </dxf>
    <dxf>
      <numFmt numFmtId="165" formatCode="&quot;$&quot;#,&quot;k&quot;"/>
    </dxf>
    <dxf>
      <numFmt numFmtId="14" formatCode="0.00%"/>
    </dxf>
    <dxf>
      <numFmt numFmtId="165" formatCode="&quot;$&quot;#,&quot;k&quot;"/>
    </dxf>
    <dxf>
      <numFmt numFmtId="165" formatCode="&quot;$&quot;#,&quot;k&quot;"/>
    </dxf>
    <dxf>
      <numFmt numFmtId="2" formatCode="0.00"/>
    </dxf>
    <dxf>
      <numFmt numFmtId="165" formatCode="&quot;$&quot;#,&quot;k&quot;"/>
    </dxf>
    <dxf>
      <numFmt numFmtId="165" formatCode="&quot;$&quot;#,&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[Sales_Dashboard.xlsx]PivotTable!PivotTable1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 by Country</a:t>
            </a:r>
          </a:p>
        </c:rich>
      </c:tx>
      <c:layout>
        <c:manualLayout>
          <c:xMode val="edge"/>
          <c:yMode val="edge"/>
          <c:x val="4.3025295697897425E-2"/>
          <c:y val="1.3846169759372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52217012629681"/>
          <c:y val="0.1634540674631296"/>
          <c:w val="0.64002253299559997"/>
          <c:h val="0.78577668946739898"/>
        </c:manualLayout>
      </c:layout>
      <c:barChart>
        <c:barDir val="bar"/>
        <c:grouping val="clustered"/>
        <c:varyColors val="0"/>
        <c:ser>
          <c:idx val="0"/>
          <c:order val="0"/>
          <c:tx>
            <c:strRef>
              <c:f>PivotTable!$B$2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PivotTable!$A$3:$A$23</c:f>
              <c:multiLvlStrCache>
                <c:ptCount val="15"/>
                <c:lvl>
                  <c:pt idx="0">
                    <c:v>Enterprise</c:v>
                  </c:pt>
                  <c:pt idx="1">
                    <c:v>Government</c:v>
                  </c:pt>
                  <c:pt idx="2">
                    <c:v>Midmarket</c:v>
                  </c:pt>
                  <c:pt idx="3">
                    <c:v>Small Business</c:v>
                  </c:pt>
                  <c:pt idx="4">
                    <c:v>Enterprise</c:v>
                  </c:pt>
                  <c:pt idx="5">
                    <c:v>Government</c:v>
                  </c:pt>
                  <c:pt idx="6">
                    <c:v>Midmarket</c:v>
                  </c:pt>
                  <c:pt idx="7">
                    <c:v>Government</c:v>
                  </c:pt>
                  <c:pt idx="8">
                    <c:v>Midmarket</c:v>
                  </c:pt>
                  <c:pt idx="9">
                    <c:v>Government</c:v>
                  </c:pt>
                  <c:pt idx="10">
                    <c:v>Midmarket</c:v>
                  </c:pt>
                  <c:pt idx="11">
                    <c:v>Small Business</c:v>
                  </c:pt>
                  <c:pt idx="12">
                    <c:v>Enterprise</c:v>
                  </c:pt>
                  <c:pt idx="13">
                    <c:v>Government</c:v>
                  </c:pt>
                  <c:pt idx="14">
                    <c:v>Midmarket</c:v>
                  </c:pt>
                </c:lvl>
                <c:lvl>
                  <c:pt idx="0">
                    <c:v>Canada</c:v>
                  </c:pt>
                  <c:pt idx="4">
                    <c:v>France</c:v>
                  </c:pt>
                  <c:pt idx="7">
                    <c:v>Germany</c:v>
                  </c:pt>
                  <c:pt idx="9">
                    <c:v>Mexico</c:v>
                  </c:pt>
                  <c:pt idx="12">
                    <c:v>United States of America</c:v>
                  </c:pt>
                </c:lvl>
              </c:multiLvlStrCache>
            </c:multiLvlStrRef>
          </c:cat>
          <c:val>
            <c:numRef>
              <c:f>PivotTable!$B$3:$B$23</c:f>
              <c:numCache>
                <c:formatCode>"$"#,"k"</c:formatCode>
                <c:ptCount val="15"/>
                <c:pt idx="0">
                  <c:v>3130706.5</c:v>
                </c:pt>
                <c:pt idx="1">
                  <c:v>3804319</c:v>
                </c:pt>
                <c:pt idx="2">
                  <c:v>969258</c:v>
                </c:pt>
                <c:pt idx="3">
                  <c:v>1346794</c:v>
                </c:pt>
                <c:pt idx="4">
                  <c:v>1184685</c:v>
                </c:pt>
                <c:pt idx="5">
                  <c:v>770141</c:v>
                </c:pt>
                <c:pt idx="6">
                  <c:v>1868246</c:v>
                </c:pt>
                <c:pt idx="7">
                  <c:v>7146670</c:v>
                </c:pt>
                <c:pt idx="8">
                  <c:v>1416334</c:v>
                </c:pt>
                <c:pt idx="9">
                  <c:v>1643766</c:v>
                </c:pt>
                <c:pt idx="10">
                  <c:v>3551464</c:v>
                </c:pt>
                <c:pt idx="11">
                  <c:v>2234324</c:v>
                </c:pt>
                <c:pt idx="12">
                  <c:v>1295342</c:v>
                </c:pt>
                <c:pt idx="13">
                  <c:v>844649</c:v>
                </c:pt>
                <c:pt idx="14">
                  <c:v>891445</c:v>
                </c:pt>
              </c:numCache>
            </c:numRef>
          </c:val>
          <c:extLst>
            <c:ext xmlns:c16="http://schemas.microsoft.com/office/drawing/2014/chart" uri="{C3380CC4-5D6E-409C-BE32-E72D297353CC}">
              <c16:uniqueId val="{00000000-C0FF-439D-8E8D-A81FE0F60BFE}"/>
            </c:ext>
          </c:extLst>
        </c:ser>
        <c:dLbls>
          <c:dLblPos val="outEnd"/>
          <c:showLegendKey val="0"/>
          <c:showVal val="1"/>
          <c:showCatName val="0"/>
          <c:showSerName val="0"/>
          <c:showPercent val="0"/>
          <c:showBubbleSize val="0"/>
        </c:dLbls>
        <c:gapWidth val="182"/>
        <c:axId val="683970000"/>
        <c:axId val="683969280"/>
      </c:barChart>
      <c:catAx>
        <c:axId val="683970000"/>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969280"/>
        <c:crosses val="autoZero"/>
        <c:auto val="1"/>
        <c:lblAlgn val="ctr"/>
        <c:lblOffset val="100"/>
        <c:noMultiLvlLbl val="0"/>
      </c:catAx>
      <c:valAx>
        <c:axId val="683969280"/>
        <c:scaling>
          <c:orientation val="minMax"/>
        </c:scaling>
        <c:delete val="1"/>
        <c:axPos val="b"/>
        <c:numFmt formatCode="&quot;$&quot;#,&quot;k&quot;" sourceLinked="1"/>
        <c:majorTickMark val="none"/>
        <c:minorTickMark val="none"/>
        <c:tickLblPos val="nextTo"/>
        <c:crossAx val="68397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[Sales_Dashboard.xlsx]PivotTable!PivotTable4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by year</a:t>
            </a:r>
            <a:endParaRPr lang="en-US" sz="2000" b="1"/>
          </a:p>
        </c:rich>
      </c:tx>
      <c:layout>
        <c:manualLayout>
          <c:xMode val="edge"/>
          <c:yMode val="edge"/>
          <c:x val="1.748617389105488E-2"/>
          <c:y val="1.29489346357491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63156702311439E-2"/>
          <c:y val="0.33091123230894459"/>
          <c:w val="0.94467378224400689"/>
          <c:h val="0.55169258889307682"/>
        </c:manualLayout>
      </c:layout>
      <c:lineChart>
        <c:grouping val="stacked"/>
        <c:varyColors val="0"/>
        <c:ser>
          <c:idx val="0"/>
          <c:order val="0"/>
          <c:tx>
            <c:strRef>
              <c:f>PivotTable!$E$2:$E$3</c:f>
              <c:strCache>
                <c:ptCount val="1"/>
                <c:pt idx="0">
                  <c:v>Enterprise</c:v>
                </c:pt>
              </c:strCache>
            </c:strRef>
          </c:tx>
          <c:spPr>
            <a:ln w="28575" cap="rnd">
              <a:solidFill>
                <a:schemeClr val="accent1">
                  <a:shade val="58000"/>
                </a:schemeClr>
              </a:solidFill>
              <a:round/>
            </a:ln>
            <a:effectLst/>
          </c:spPr>
          <c:marker>
            <c:symbol val="none"/>
          </c:marker>
          <c:cat>
            <c:strRef>
              <c:f>PivotTable!$D$4:$D$7</c:f>
              <c:strCache>
                <c:ptCount val="3"/>
                <c:pt idx="0">
                  <c:v>2019</c:v>
                </c:pt>
                <c:pt idx="1">
                  <c:v>2021</c:v>
                </c:pt>
                <c:pt idx="2">
                  <c:v>2022</c:v>
                </c:pt>
              </c:strCache>
            </c:strRef>
          </c:cat>
          <c:val>
            <c:numRef>
              <c:f>PivotTable!$E$4:$E$7</c:f>
              <c:numCache>
                <c:formatCode>"$"#,"k"</c:formatCode>
                <c:ptCount val="3"/>
                <c:pt idx="0">
                  <c:v>997562.5</c:v>
                </c:pt>
                <c:pt idx="1">
                  <c:v>4613171</c:v>
                </c:pt>
              </c:numCache>
            </c:numRef>
          </c:val>
          <c:smooth val="0"/>
          <c:extLst>
            <c:ext xmlns:c16="http://schemas.microsoft.com/office/drawing/2014/chart" uri="{C3380CC4-5D6E-409C-BE32-E72D297353CC}">
              <c16:uniqueId val="{00000000-7035-4BE9-B703-75CB19FE7819}"/>
            </c:ext>
          </c:extLst>
        </c:ser>
        <c:ser>
          <c:idx val="1"/>
          <c:order val="1"/>
          <c:tx>
            <c:strRef>
              <c:f>PivotTable!$F$2:$F$3</c:f>
              <c:strCache>
                <c:ptCount val="1"/>
                <c:pt idx="0">
                  <c:v>Government</c:v>
                </c:pt>
              </c:strCache>
            </c:strRef>
          </c:tx>
          <c:spPr>
            <a:ln w="28575" cap="rnd">
              <a:solidFill>
                <a:schemeClr val="accent1">
                  <a:shade val="86000"/>
                </a:schemeClr>
              </a:solidFill>
              <a:round/>
            </a:ln>
            <a:effectLst/>
          </c:spPr>
          <c:marker>
            <c:symbol val="none"/>
          </c:marker>
          <c:cat>
            <c:strRef>
              <c:f>PivotTable!$D$4:$D$7</c:f>
              <c:strCache>
                <c:ptCount val="3"/>
                <c:pt idx="0">
                  <c:v>2019</c:v>
                </c:pt>
                <c:pt idx="1">
                  <c:v>2021</c:v>
                </c:pt>
                <c:pt idx="2">
                  <c:v>2022</c:v>
                </c:pt>
              </c:strCache>
            </c:strRef>
          </c:cat>
          <c:val>
            <c:numRef>
              <c:f>PivotTable!$F$4:$F$7</c:f>
              <c:numCache>
                <c:formatCode>"$"#,"k"</c:formatCode>
                <c:ptCount val="3"/>
                <c:pt idx="0">
                  <c:v>2545655</c:v>
                </c:pt>
                <c:pt idx="1">
                  <c:v>11037570</c:v>
                </c:pt>
                <c:pt idx="2">
                  <c:v>626320</c:v>
                </c:pt>
              </c:numCache>
            </c:numRef>
          </c:val>
          <c:smooth val="0"/>
          <c:extLst>
            <c:ext xmlns:c16="http://schemas.microsoft.com/office/drawing/2014/chart" uri="{C3380CC4-5D6E-409C-BE32-E72D297353CC}">
              <c16:uniqueId val="{00000017-7035-4BE9-B703-75CB19FE7819}"/>
            </c:ext>
          </c:extLst>
        </c:ser>
        <c:ser>
          <c:idx val="2"/>
          <c:order val="2"/>
          <c:tx>
            <c:strRef>
              <c:f>PivotTable!$G$2:$G$3</c:f>
              <c:strCache>
                <c:ptCount val="1"/>
                <c:pt idx="0">
                  <c:v>Midmarket</c:v>
                </c:pt>
              </c:strCache>
            </c:strRef>
          </c:tx>
          <c:spPr>
            <a:ln w="28575" cap="rnd">
              <a:solidFill>
                <a:schemeClr val="accent1">
                  <a:tint val="86000"/>
                </a:schemeClr>
              </a:solidFill>
              <a:round/>
            </a:ln>
            <a:effectLst/>
          </c:spPr>
          <c:marker>
            <c:symbol val="none"/>
          </c:marker>
          <c:cat>
            <c:strRef>
              <c:f>PivotTable!$D$4:$D$7</c:f>
              <c:strCache>
                <c:ptCount val="3"/>
                <c:pt idx="0">
                  <c:v>2019</c:v>
                </c:pt>
                <c:pt idx="1">
                  <c:v>2021</c:v>
                </c:pt>
                <c:pt idx="2">
                  <c:v>2022</c:v>
                </c:pt>
              </c:strCache>
            </c:strRef>
          </c:cat>
          <c:val>
            <c:numRef>
              <c:f>PivotTable!$G$4:$G$7</c:f>
              <c:numCache>
                <c:formatCode>"$"#,"k"</c:formatCode>
                <c:ptCount val="3"/>
                <c:pt idx="0">
                  <c:v>235335</c:v>
                </c:pt>
                <c:pt idx="1">
                  <c:v>8327507</c:v>
                </c:pt>
                <c:pt idx="2">
                  <c:v>133905</c:v>
                </c:pt>
              </c:numCache>
            </c:numRef>
          </c:val>
          <c:smooth val="0"/>
          <c:extLst>
            <c:ext xmlns:c16="http://schemas.microsoft.com/office/drawing/2014/chart" uri="{C3380CC4-5D6E-409C-BE32-E72D297353CC}">
              <c16:uniqueId val="{00000001-1A08-42B5-AFD6-A7219BAE4D32}"/>
            </c:ext>
          </c:extLst>
        </c:ser>
        <c:ser>
          <c:idx val="3"/>
          <c:order val="3"/>
          <c:tx>
            <c:strRef>
              <c:f>PivotTable!$H$2:$H$3</c:f>
              <c:strCache>
                <c:ptCount val="1"/>
                <c:pt idx="0">
                  <c:v>Small Business</c:v>
                </c:pt>
              </c:strCache>
            </c:strRef>
          </c:tx>
          <c:spPr>
            <a:ln w="28575" cap="rnd">
              <a:solidFill>
                <a:schemeClr val="accent1">
                  <a:tint val="58000"/>
                </a:schemeClr>
              </a:solidFill>
              <a:round/>
            </a:ln>
            <a:effectLst/>
          </c:spPr>
          <c:marker>
            <c:symbol val="none"/>
          </c:marker>
          <c:cat>
            <c:strRef>
              <c:f>PivotTable!$D$4:$D$7</c:f>
              <c:strCache>
                <c:ptCount val="3"/>
                <c:pt idx="0">
                  <c:v>2019</c:v>
                </c:pt>
                <c:pt idx="1">
                  <c:v>2021</c:v>
                </c:pt>
                <c:pt idx="2">
                  <c:v>2022</c:v>
                </c:pt>
              </c:strCache>
            </c:strRef>
          </c:cat>
          <c:val>
            <c:numRef>
              <c:f>PivotTable!$H$4:$H$7</c:f>
              <c:numCache>
                <c:formatCode>"$"#,"k"</c:formatCode>
                <c:ptCount val="3"/>
                <c:pt idx="0">
                  <c:v>1124100</c:v>
                </c:pt>
                <c:pt idx="1">
                  <c:v>2457018</c:v>
                </c:pt>
              </c:numCache>
            </c:numRef>
          </c:val>
          <c:smooth val="0"/>
          <c:extLst>
            <c:ext xmlns:c16="http://schemas.microsoft.com/office/drawing/2014/chart" uri="{C3380CC4-5D6E-409C-BE32-E72D297353CC}">
              <c16:uniqueId val="{00000002-1A08-42B5-AFD6-A7219BAE4D32}"/>
            </c:ext>
          </c:extLst>
        </c:ser>
        <c:dLbls>
          <c:showLegendKey val="0"/>
          <c:showVal val="0"/>
          <c:showCatName val="0"/>
          <c:showSerName val="0"/>
          <c:showPercent val="0"/>
          <c:showBubbleSize val="0"/>
        </c:dLbls>
        <c:smooth val="0"/>
        <c:axId val="683969640"/>
        <c:axId val="683966760"/>
      </c:lineChart>
      <c:catAx>
        <c:axId val="683969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966760"/>
        <c:crosses val="autoZero"/>
        <c:auto val="1"/>
        <c:lblAlgn val="ctr"/>
        <c:lblOffset val="100"/>
        <c:noMultiLvlLbl val="0"/>
      </c:catAx>
      <c:valAx>
        <c:axId val="683966760"/>
        <c:scaling>
          <c:orientation val="minMax"/>
        </c:scaling>
        <c:delete val="1"/>
        <c:axPos val="l"/>
        <c:numFmt formatCode="&quot;$&quot;#,&quot;k&quot;" sourceLinked="1"/>
        <c:majorTickMark val="none"/>
        <c:minorTickMark val="none"/>
        <c:tickLblPos val="nextTo"/>
        <c:crossAx val="6839696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[Sales_Dashboard.xlsx]PivotTable!PivotTable5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Profit</a:t>
            </a:r>
            <a:r>
              <a:rPr lang="en-US" sz="2000" b="1" baseline="0"/>
              <a:t> by Years</a:t>
            </a:r>
            <a:endParaRPr lang="en-US" sz="2000" b="1"/>
          </a:p>
        </c:rich>
      </c:tx>
      <c:layout>
        <c:manualLayout>
          <c:xMode val="edge"/>
          <c:yMode val="edge"/>
          <c:x val="1.7889857151039214E-2"/>
          <c:y val="1.38061623534126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1657772267587E-2"/>
          <c:y val="0.35741814231461005"/>
          <c:w val="0.93896695565252497"/>
          <c:h val="0.53582249046889663"/>
        </c:manualLayout>
      </c:layout>
      <c:lineChart>
        <c:grouping val="stacked"/>
        <c:varyColors val="0"/>
        <c:ser>
          <c:idx val="0"/>
          <c:order val="0"/>
          <c:tx>
            <c:strRef>
              <c:f>PivotTable!$E$10:$E$11</c:f>
              <c:strCache>
                <c:ptCount val="1"/>
                <c:pt idx="0">
                  <c:v>Enterprise</c:v>
                </c:pt>
              </c:strCache>
            </c:strRef>
          </c:tx>
          <c:spPr>
            <a:ln w="28575" cap="rnd">
              <a:solidFill>
                <a:schemeClr val="accent1">
                  <a:shade val="58000"/>
                </a:schemeClr>
              </a:solidFill>
              <a:round/>
            </a:ln>
            <a:effectLst/>
          </c:spPr>
          <c:marker>
            <c:symbol val="none"/>
          </c:marker>
          <c:cat>
            <c:strRef>
              <c:f>PivotTable!$D$12:$D$15</c:f>
              <c:strCache>
                <c:ptCount val="3"/>
                <c:pt idx="0">
                  <c:v>2019</c:v>
                </c:pt>
                <c:pt idx="1">
                  <c:v>2021</c:v>
                </c:pt>
                <c:pt idx="2">
                  <c:v>2022</c:v>
                </c:pt>
              </c:strCache>
            </c:strRef>
          </c:cat>
          <c:val>
            <c:numRef>
              <c:f>PivotTable!$E$12:$E$15</c:f>
              <c:numCache>
                <c:formatCode>"$"#,"k"</c:formatCode>
                <c:ptCount val="3"/>
                <c:pt idx="0">
                  <c:v>39902.5</c:v>
                </c:pt>
                <c:pt idx="1">
                  <c:v>2961008</c:v>
                </c:pt>
              </c:numCache>
            </c:numRef>
          </c:val>
          <c:smooth val="0"/>
          <c:extLst>
            <c:ext xmlns:c16="http://schemas.microsoft.com/office/drawing/2014/chart" uri="{C3380CC4-5D6E-409C-BE32-E72D297353CC}">
              <c16:uniqueId val="{00000000-2935-4CF6-B19B-882E33144AD3}"/>
            </c:ext>
          </c:extLst>
        </c:ser>
        <c:ser>
          <c:idx val="1"/>
          <c:order val="1"/>
          <c:tx>
            <c:strRef>
              <c:f>PivotTable!$F$10:$F$11</c:f>
              <c:strCache>
                <c:ptCount val="1"/>
                <c:pt idx="0">
                  <c:v>Government</c:v>
                </c:pt>
              </c:strCache>
            </c:strRef>
          </c:tx>
          <c:spPr>
            <a:ln w="28575" cap="rnd">
              <a:solidFill>
                <a:schemeClr val="accent1">
                  <a:shade val="86000"/>
                </a:schemeClr>
              </a:solidFill>
              <a:round/>
            </a:ln>
            <a:effectLst/>
          </c:spPr>
          <c:marker>
            <c:symbol val="none"/>
          </c:marker>
          <c:cat>
            <c:strRef>
              <c:f>PivotTable!$D$12:$D$15</c:f>
              <c:strCache>
                <c:ptCount val="3"/>
                <c:pt idx="0">
                  <c:v>2019</c:v>
                </c:pt>
                <c:pt idx="1">
                  <c:v>2021</c:v>
                </c:pt>
                <c:pt idx="2">
                  <c:v>2022</c:v>
                </c:pt>
              </c:strCache>
            </c:strRef>
          </c:cat>
          <c:val>
            <c:numRef>
              <c:f>PivotTable!$F$12:$F$15</c:f>
              <c:numCache>
                <c:formatCode>"$"#,"k"</c:formatCode>
                <c:ptCount val="3"/>
                <c:pt idx="0">
                  <c:v>689475</c:v>
                </c:pt>
                <c:pt idx="1">
                  <c:v>6368000</c:v>
                </c:pt>
                <c:pt idx="2">
                  <c:v>184555</c:v>
                </c:pt>
              </c:numCache>
            </c:numRef>
          </c:val>
          <c:smooth val="0"/>
          <c:extLst>
            <c:ext xmlns:c16="http://schemas.microsoft.com/office/drawing/2014/chart" uri="{C3380CC4-5D6E-409C-BE32-E72D297353CC}">
              <c16:uniqueId val="{00000019-2935-4CF6-B19B-882E33144AD3}"/>
            </c:ext>
          </c:extLst>
        </c:ser>
        <c:ser>
          <c:idx val="2"/>
          <c:order val="2"/>
          <c:tx>
            <c:strRef>
              <c:f>PivotTable!$G$10:$G$11</c:f>
              <c:strCache>
                <c:ptCount val="1"/>
                <c:pt idx="0">
                  <c:v>Midmarket</c:v>
                </c:pt>
              </c:strCache>
            </c:strRef>
          </c:tx>
          <c:spPr>
            <a:ln w="28575" cap="rnd">
              <a:solidFill>
                <a:schemeClr val="accent1">
                  <a:tint val="86000"/>
                </a:schemeClr>
              </a:solidFill>
              <a:round/>
            </a:ln>
            <a:effectLst/>
          </c:spPr>
          <c:marker>
            <c:symbol val="none"/>
          </c:marker>
          <c:cat>
            <c:strRef>
              <c:f>PivotTable!$D$12:$D$15</c:f>
              <c:strCache>
                <c:ptCount val="3"/>
                <c:pt idx="0">
                  <c:v>2019</c:v>
                </c:pt>
                <c:pt idx="1">
                  <c:v>2021</c:v>
                </c:pt>
                <c:pt idx="2">
                  <c:v>2022</c:v>
                </c:pt>
              </c:strCache>
            </c:strRef>
          </c:cat>
          <c:val>
            <c:numRef>
              <c:f>PivotTable!$G$12:$G$15</c:f>
              <c:numCache>
                <c:formatCode>"$"#,"k"</c:formatCode>
                <c:ptCount val="3"/>
                <c:pt idx="0">
                  <c:v>78445</c:v>
                </c:pt>
                <c:pt idx="1">
                  <c:v>4770074</c:v>
                </c:pt>
                <c:pt idx="2">
                  <c:v>44635</c:v>
                </c:pt>
              </c:numCache>
            </c:numRef>
          </c:val>
          <c:smooth val="0"/>
          <c:extLst>
            <c:ext xmlns:c16="http://schemas.microsoft.com/office/drawing/2014/chart" uri="{C3380CC4-5D6E-409C-BE32-E72D297353CC}">
              <c16:uniqueId val="{00000001-D53A-4232-B5AD-115BEF201B76}"/>
            </c:ext>
          </c:extLst>
        </c:ser>
        <c:ser>
          <c:idx val="3"/>
          <c:order val="3"/>
          <c:tx>
            <c:strRef>
              <c:f>PivotTable!$H$10:$H$11</c:f>
              <c:strCache>
                <c:ptCount val="1"/>
                <c:pt idx="0">
                  <c:v>Small Business</c:v>
                </c:pt>
              </c:strCache>
            </c:strRef>
          </c:tx>
          <c:spPr>
            <a:ln w="28575" cap="rnd">
              <a:solidFill>
                <a:schemeClr val="accent1">
                  <a:tint val="58000"/>
                </a:schemeClr>
              </a:solidFill>
              <a:round/>
            </a:ln>
            <a:effectLst/>
          </c:spPr>
          <c:marker>
            <c:symbol val="none"/>
          </c:marker>
          <c:cat>
            <c:strRef>
              <c:f>PivotTable!$D$12:$D$15</c:f>
              <c:strCache>
                <c:ptCount val="3"/>
                <c:pt idx="0">
                  <c:v>2019</c:v>
                </c:pt>
                <c:pt idx="1">
                  <c:v>2021</c:v>
                </c:pt>
                <c:pt idx="2">
                  <c:v>2022</c:v>
                </c:pt>
              </c:strCache>
            </c:strRef>
          </c:cat>
          <c:val>
            <c:numRef>
              <c:f>PivotTable!$H$12:$H$15</c:f>
              <c:numCache>
                <c:formatCode>"$"#,"k"</c:formatCode>
                <c:ptCount val="3"/>
                <c:pt idx="0">
                  <c:v>187350</c:v>
                </c:pt>
                <c:pt idx="1">
                  <c:v>1477451</c:v>
                </c:pt>
              </c:numCache>
            </c:numRef>
          </c:val>
          <c:smooth val="0"/>
          <c:extLst>
            <c:ext xmlns:c16="http://schemas.microsoft.com/office/drawing/2014/chart" uri="{C3380CC4-5D6E-409C-BE32-E72D297353CC}">
              <c16:uniqueId val="{00000002-D53A-4232-B5AD-115BEF201B76}"/>
            </c:ext>
          </c:extLst>
        </c:ser>
        <c:dLbls>
          <c:showLegendKey val="0"/>
          <c:showVal val="0"/>
          <c:showCatName val="0"/>
          <c:showSerName val="0"/>
          <c:showPercent val="0"/>
          <c:showBubbleSize val="0"/>
        </c:dLbls>
        <c:smooth val="0"/>
        <c:axId val="682524288"/>
        <c:axId val="682523928"/>
      </c:lineChart>
      <c:catAx>
        <c:axId val="68252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523928"/>
        <c:crosses val="autoZero"/>
        <c:auto val="1"/>
        <c:lblAlgn val="ctr"/>
        <c:lblOffset val="100"/>
        <c:noMultiLvlLbl val="0"/>
      </c:catAx>
      <c:valAx>
        <c:axId val="682523928"/>
        <c:scaling>
          <c:orientation val="minMax"/>
        </c:scaling>
        <c:delete val="1"/>
        <c:axPos val="l"/>
        <c:numFmt formatCode="&quot;$&quot;#,&quot;k&quot;" sourceLinked="1"/>
        <c:majorTickMark val="none"/>
        <c:minorTickMark val="none"/>
        <c:tickLblPos val="nextTo"/>
        <c:crossAx val="6825242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[Sales_Dashboard.xlsx]PivotTable!PivotTable7</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Profits - Year on Year Change</a:t>
            </a:r>
            <a:r>
              <a:rPr lang="en-US" sz="1800" b="1" baseline="0"/>
              <a:t> </a:t>
            </a:r>
            <a:endParaRPr lang="en-US" sz="1800" b="1"/>
          </a:p>
        </c:rich>
      </c:tx>
      <c:layout>
        <c:manualLayout>
          <c:xMode val="edge"/>
          <c:yMode val="edge"/>
          <c:x val="1.889961833650658E-2"/>
          <c:y val="1.8635713655731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30023221055701377"/>
          <c:w val="0.93888888888888888"/>
          <c:h val="0.64884186351706041"/>
        </c:manualLayout>
      </c:layout>
      <c:barChart>
        <c:barDir val="col"/>
        <c:grouping val="clustered"/>
        <c:varyColors val="0"/>
        <c:ser>
          <c:idx val="0"/>
          <c:order val="0"/>
          <c:tx>
            <c:strRef>
              <c:f>PivotTable!$E$18:$E$19</c:f>
              <c:strCache>
                <c:ptCount val="1"/>
                <c:pt idx="0">
                  <c:v>Enterprise</c:v>
                </c:pt>
              </c:strCache>
            </c:strRef>
          </c:tx>
          <c:spPr>
            <a:solidFill>
              <a:schemeClr val="accent1">
                <a:shade val="58000"/>
              </a:schemeClr>
            </a:solidFill>
            <a:ln>
              <a:noFill/>
            </a:ln>
            <a:effectLst/>
          </c:spPr>
          <c:invertIfNegative val="0"/>
          <c:cat>
            <c:strRef>
              <c:f>PivotTable!$D$20:$D$23</c:f>
              <c:strCache>
                <c:ptCount val="3"/>
                <c:pt idx="0">
                  <c:v>2019</c:v>
                </c:pt>
                <c:pt idx="1">
                  <c:v>2021</c:v>
                </c:pt>
                <c:pt idx="2">
                  <c:v>2022</c:v>
                </c:pt>
              </c:strCache>
            </c:strRef>
          </c:cat>
          <c:val>
            <c:numRef>
              <c:f>PivotTable!$E$20:$E$23</c:f>
              <c:numCache>
                <c:formatCode>0.00%</c:formatCode>
                <c:ptCount val="3"/>
                <c:pt idx="1">
                  <c:v>73.206077313451544</c:v>
                </c:pt>
                <c:pt idx="2">
                  <c:v>#N/A</c:v>
                </c:pt>
              </c:numCache>
            </c:numRef>
          </c:val>
          <c:extLst>
            <c:ext xmlns:c16="http://schemas.microsoft.com/office/drawing/2014/chart" uri="{C3380CC4-5D6E-409C-BE32-E72D297353CC}">
              <c16:uniqueId val="{00000006-6CF1-4F4E-8B70-A8A315C77417}"/>
            </c:ext>
          </c:extLst>
        </c:ser>
        <c:ser>
          <c:idx val="1"/>
          <c:order val="1"/>
          <c:tx>
            <c:strRef>
              <c:f>PivotTable!$F$18:$F$19</c:f>
              <c:strCache>
                <c:ptCount val="1"/>
                <c:pt idx="0">
                  <c:v>Government</c:v>
                </c:pt>
              </c:strCache>
            </c:strRef>
          </c:tx>
          <c:spPr>
            <a:solidFill>
              <a:schemeClr val="accent1">
                <a:shade val="86000"/>
              </a:schemeClr>
            </a:solidFill>
            <a:ln>
              <a:noFill/>
            </a:ln>
            <a:effectLst/>
          </c:spPr>
          <c:invertIfNegative val="0"/>
          <c:cat>
            <c:strRef>
              <c:f>PivotTable!$D$20:$D$23</c:f>
              <c:strCache>
                <c:ptCount val="3"/>
                <c:pt idx="0">
                  <c:v>2019</c:v>
                </c:pt>
                <c:pt idx="1">
                  <c:v>2021</c:v>
                </c:pt>
                <c:pt idx="2">
                  <c:v>2022</c:v>
                </c:pt>
              </c:strCache>
            </c:strRef>
          </c:cat>
          <c:val>
            <c:numRef>
              <c:f>PivotTable!$F$20:$F$23</c:f>
              <c:numCache>
                <c:formatCode>0.00%</c:formatCode>
                <c:ptCount val="3"/>
                <c:pt idx="1">
                  <c:v>8.236012908372313</c:v>
                </c:pt>
                <c:pt idx="2">
                  <c:v>-0.97101837311557793</c:v>
                </c:pt>
              </c:numCache>
            </c:numRef>
          </c:val>
          <c:extLst>
            <c:ext xmlns:c16="http://schemas.microsoft.com/office/drawing/2014/chart" uri="{C3380CC4-5D6E-409C-BE32-E72D297353CC}">
              <c16:uniqueId val="{00000018-6CF1-4F4E-8B70-A8A315C77417}"/>
            </c:ext>
          </c:extLst>
        </c:ser>
        <c:ser>
          <c:idx val="2"/>
          <c:order val="2"/>
          <c:tx>
            <c:strRef>
              <c:f>PivotTable!$G$18:$G$19</c:f>
              <c:strCache>
                <c:ptCount val="1"/>
                <c:pt idx="0">
                  <c:v>Midmarket</c:v>
                </c:pt>
              </c:strCache>
            </c:strRef>
          </c:tx>
          <c:spPr>
            <a:solidFill>
              <a:schemeClr val="accent1">
                <a:tint val="86000"/>
              </a:schemeClr>
            </a:solidFill>
            <a:ln>
              <a:noFill/>
            </a:ln>
            <a:effectLst/>
          </c:spPr>
          <c:invertIfNegative val="0"/>
          <c:cat>
            <c:strRef>
              <c:f>PivotTable!$D$20:$D$23</c:f>
              <c:strCache>
                <c:ptCount val="3"/>
                <c:pt idx="0">
                  <c:v>2019</c:v>
                </c:pt>
                <c:pt idx="1">
                  <c:v>2021</c:v>
                </c:pt>
                <c:pt idx="2">
                  <c:v>2022</c:v>
                </c:pt>
              </c:strCache>
            </c:strRef>
          </c:cat>
          <c:val>
            <c:numRef>
              <c:f>PivotTable!$G$20:$G$23</c:f>
              <c:numCache>
                <c:formatCode>0.00%</c:formatCode>
                <c:ptCount val="3"/>
                <c:pt idx="1">
                  <c:v>59.807878131174711</c:v>
                </c:pt>
                <c:pt idx="2">
                  <c:v>-0.99064270281760824</c:v>
                </c:pt>
              </c:numCache>
            </c:numRef>
          </c:val>
          <c:extLst>
            <c:ext xmlns:c16="http://schemas.microsoft.com/office/drawing/2014/chart" uri="{C3380CC4-5D6E-409C-BE32-E72D297353CC}">
              <c16:uniqueId val="{00000001-7E18-455A-8B31-2CA8B8BA19B3}"/>
            </c:ext>
          </c:extLst>
        </c:ser>
        <c:ser>
          <c:idx val="3"/>
          <c:order val="3"/>
          <c:tx>
            <c:strRef>
              <c:f>PivotTable!$H$18:$H$19</c:f>
              <c:strCache>
                <c:ptCount val="1"/>
                <c:pt idx="0">
                  <c:v>Small Business</c:v>
                </c:pt>
              </c:strCache>
            </c:strRef>
          </c:tx>
          <c:spPr>
            <a:solidFill>
              <a:schemeClr val="accent1">
                <a:tint val="58000"/>
              </a:schemeClr>
            </a:solidFill>
            <a:ln>
              <a:noFill/>
            </a:ln>
            <a:effectLst/>
          </c:spPr>
          <c:invertIfNegative val="0"/>
          <c:cat>
            <c:strRef>
              <c:f>PivotTable!$D$20:$D$23</c:f>
              <c:strCache>
                <c:ptCount val="3"/>
                <c:pt idx="0">
                  <c:v>2019</c:v>
                </c:pt>
                <c:pt idx="1">
                  <c:v>2021</c:v>
                </c:pt>
                <c:pt idx="2">
                  <c:v>2022</c:v>
                </c:pt>
              </c:strCache>
            </c:strRef>
          </c:cat>
          <c:val>
            <c:numRef>
              <c:f>PivotTable!$H$20:$H$23</c:f>
              <c:numCache>
                <c:formatCode>0.00%</c:formatCode>
                <c:ptCount val="3"/>
                <c:pt idx="1">
                  <c:v>6.8860475046704028</c:v>
                </c:pt>
                <c:pt idx="2">
                  <c:v>#N/A</c:v>
                </c:pt>
              </c:numCache>
            </c:numRef>
          </c:val>
          <c:extLst>
            <c:ext xmlns:c16="http://schemas.microsoft.com/office/drawing/2014/chart" uri="{C3380CC4-5D6E-409C-BE32-E72D297353CC}">
              <c16:uniqueId val="{00000002-7E18-455A-8B31-2CA8B8BA19B3}"/>
            </c:ext>
          </c:extLst>
        </c:ser>
        <c:dLbls>
          <c:showLegendKey val="0"/>
          <c:showVal val="0"/>
          <c:showCatName val="0"/>
          <c:showSerName val="0"/>
          <c:showPercent val="0"/>
          <c:showBubbleSize val="0"/>
        </c:dLbls>
        <c:gapWidth val="219"/>
        <c:overlap val="-27"/>
        <c:axId val="749247240"/>
        <c:axId val="749246880"/>
      </c:barChart>
      <c:catAx>
        <c:axId val="749247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246880"/>
        <c:crosses val="autoZero"/>
        <c:auto val="1"/>
        <c:lblAlgn val="ctr"/>
        <c:lblOffset val="100"/>
        <c:noMultiLvlLbl val="0"/>
      </c:catAx>
      <c:valAx>
        <c:axId val="749246880"/>
        <c:scaling>
          <c:orientation val="minMax"/>
        </c:scaling>
        <c:delete val="1"/>
        <c:axPos val="l"/>
        <c:numFmt formatCode="0.00%" sourceLinked="1"/>
        <c:majorTickMark val="none"/>
        <c:minorTickMark val="none"/>
        <c:tickLblPos val="nextTo"/>
        <c:crossAx val="749247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[Sales_Dashboard.xlsx]PivotTable!PivotTable9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 Year on Year Change</a:t>
            </a:r>
            <a:endParaRPr lang="en-US" sz="2000" b="1"/>
          </a:p>
        </c:rich>
      </c:tx>
      <c:layout>
        <c:manualLayout>
          <c:xMode val="edge"/>
          <c:yMode val="edge"/>
          <c:x val="2.1256780402449691E-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PivotTable!$E$26:$E$27</c:f>
              <c:strCache>
                <c:ptCount val="1"/>
                <c:pt idx="0">
                  <c:v>Enterprise</c:v>
                </c:pt>
              </c:strCache>
            </c:strRef>
          </c:tx>
          <c:spPr>
            <a:solidFill>
              <a:schemeClr val="accent1">
                <a:shade val="58000"/>
              </a:schemeClr>
            </a:solidFill>
            <a:ln>
              <a:noFill/>
            </a:ln>
            <a:effectLst/>
          </c:spPr>
          <c:invertIfNegative val="0"/>
          <c:cat>
            <c:strRef>
              <c:f>PivotTable!$D$28:$D$31</c:f>
              <c:strCache>
                <c:ptCount val="3"/>
                <c:pt idx="0">
                  <c:v>2019</c:v>
                </c:pt>
                <c:pt idx="1">
                  <c:v>2021</c:v>
                </c:pt>
                <c:pt idx="2">
                  <c:v>2022</c:v>
                </c:pt>
              </c:strCache>
            </c:strRef>
          </c:cat>
          <c:val>
            <c:numRef>
              <c:f>PivotTable!$E$28:$E$31</c:f>
              <c:numCache>
                <c:formatCode>0.00%</c:formatCode>
                <c:ptCount val="3"/>
                <c:pt idx="1">
                  <c:v>3.6244430800075182</c:v>
                </c:pt>
                <c:pt idx="2">
                  <c:v>#N/A</c:v>
                </c:pt>
              </c:numCache>
            </c:numRef>
          </c:val>
          <c:extLst>
            <c:ext xmlns:c16="http://schemas.microsoft.com/office/drawing/2014/chart" uri="{C3380CC4-5D6E-409C-BE32-E72D297353CC}">
              <c16:uniqueId val="{00000000-5051-4C27-8F4B-0503275EEACA}"/>
            </c:ext>
          </c:extLst>
        </c:ser>
        <c:ser>
          <c:idx val="1"/>
          <c:order val="1"/>
          <c:tx>
            <c:strRef>
              <c:f>PivotTable!$F$26:$F$27</c:f>
              <c:strCache>
                <c:ptCount val="1"/>
                <c:pt idx="0">
                  <c:v>Government</c:v>
                </c:pt>
              </c:strCache>
            </c:strRef>
          </c:tx>
          <c:spPr>
            <a:solidFill>
              <a:schemeClr val="accent1">
                <a:shade val="86000"/>
              </a:schemeClr>
            </a:solidFill>
            <a:ln>
              <a:noFill/>
            </a:ln>
            <a:effectLst/>
          </c:spPr>
          <c:invertIfNegative val="0"/>
          <c:cat>
            <c:strRef>
              <c:f>PivotTable!$D$28:$D$31</c:f>
              <c:strCache>
                <c:ptCount val="3"/>
                <c:pt idx="0">
                  <c:v>2019</c:v>
                </c:pt>
                <c:pt idx="1">
                  <c:v>2021</c:v>
                </c:pt>
                <c:pt idx="2">
                  <c:v>2022</c:v>
                </c:pt>
              </c:strCache>
            </c:strRef>
          </c:cat>
          <c:val>
            <c:numRef>
              <c:f>PivotTable!$F$28:$F$31</c:f>
              <c:numCache>
                <c:formatCode>0.00%</c:formatCode>
                <c:ptCount val="3"/>
                <c:pt idx="1">
                  <c:v>3.3358467663528639</c:v>
                </c:pt>
                <c:pt idx="2">
                  <c:v>-0.94325562601188484</c:v>
                </c:pt>
              </c:numCache>
            </c:numRef>
          </c:val>
          <c:extLst>
            <c:ext xmlns:c16="http://schemas.microsoft.com/office/drawing/2014/chart" uri="{C3380CC4-5D6E-409C-BE32-E72D297353CC}">
              <c16:uniqueId val="{0000000D-5051-4C27-8F4B-0503275EEACA}"/>
            </c:ext>
          </c:extLst>
        </c:ser>
        <c:ser>
          <c:idx val="2"/>
          <c:order val="2"/>
          <c:tx>
            <c:strRef>
              <c:f>PivotTable!$G$26:$G$27</c:f>
              <c:strCache>
                <c:ptCount val="1"/>
                <c:pt idx="0">
                  <c:v>Midmarket</c:v>
                </c:pt>
              </c:strCache>
            </c:strRef>
          </c:tx>
          <c:spPr>
            <a:solidFill>
              <a:schemeClr val="accent1">
                <a:tint val="86000"/>
              </a:schemeClr>
            </a:solidFill>
            <a:ln>
              <a:noFill/>
            </a:ln>
            <a:effectLst/>
          </c:spPr>
          <c:invertIfNegative val="0"/>
          <c:cat>
            <c:strRef>
              <c:f>PivotTable!$D$28:$D$31</c:f>
              <c:strCache>
                <c:ptCount val="3"/>
                <c:pt idx="0">
                  <c:v>2019</c:v>
                </c:pt>
                <c:pt idx="1">
                  <c:v>2021</c:v>
                </c:pt>
                <c:pt idx="2">
                  <c:v>2022</c:v>
                </c:pt>
              </c:strCache>
            </c:strRef>
          </c:cat>
          <c:val>
            <c:numRef>
              <c:f>PivotTable!$G$28:$G$31</c:f>
              <c:numCache>
                <c:formatCode>0.00%</c:formatCode>
                <c:ptCount val="3"/>
                <c:pt idx="1">
                  <c:v>34.385756474812503</c:v>
                </c:pt>
                <c:pt idx="2">
                  <c:v>-0.98392015761739982</c:v>
                </c:pt>
              </c:numCache>
            </c:numRef>
          </c:val>
          <c:extLst>
            <c:ext xmlns:c16="http://schemas.microsoft.com/office/drawing/2014/chart" uri="{C3380CC4-5D6E-409C-BE32-E72D297353CC}">
              <c16:uniqueId val="{00000001-B408-4CCC-9F6D-6D7FD2F8405C}"/>
            </c:ext>
          </c:extLst>
        </c:ser>
        <c:ser>
          <c:idx val="3"/>
          <c:order val="3"/>
          <c:tx>
            <c:strRef>
              <c:f>PivotTable!$H$26:$H$27</c:f>
              <c:strCache>
                <c:ptCount val="1"/>
                <c:pt idx="0">
                  <c:v>Small Business</c:v>
                </c:pt>
              </c:strCache>
            </c:strRef>
          </c:tx>
          <c:spPr>
            <a:solidFill>
              <a:schemeClr val="accent1">
                <a:tint val="58000"/>
              </a:schemeClr>
            </a:solidFill>
            <a:ln>
              <a:noFill/>
            </a:ln>
            <a:effectLst/>
          </c:spPr>
          <c:invertIfNegative val="0"/>
          <c:cat>
            <c:strRef>
              <c:f>PivotTable!$D$28:$D$31</c:f>
              <c:strCache>
                <c:ptCount val="3"/>
                <c:pt idx="0">
                  <c:v>2019</c:v>
                </c:pt>
                <c:pt idx="1">
                  <c:v>2021</c:v>
                </c:pt>
                <c:pt idx="2">
                  <c:v>2022</c:v>
                </c:pt>
              </c:strCache>
            </c:strRef>
          </c:cat>
          <c:val>
            <c:numRef>
              <c:f>PivotTable!$H$28:$H$31</c:f>
              <c:numCache>
                <c:formatCode>0.00%</c:formatCode>
                <c:ptCount val="3"/>
                <c:pt idx="1">
                  <c:v>1.1857646116893514</c:v>
                </c:pt>
                <c:pt idx="2">
                  <c:v>#N/A</c:v>
                </c:pt>
              </c:numCache>
            </c:numRef>
          </c:val>
          <c:extLst>
            <c:ext xmlns:c16="http://schemas.microsoft.com/office/drawing/2014/chart" uri="{C3380CC4-5D6E-409C-BE32-E72D297353CC}">
              <c16:uniqueId val="{00000002-B408-4CCC-9F6D-6D7FD2F8405C}"/>
            </c:ext>
          </c:extLst>
        </c:ser>
        <c:dLbls>
          <c:showLegendKey val="0"/>
          <c:showVal val="0"/>
          <c:showCatName val="0"/>
          <c:showSerName val="0"/>
          <c:showPercent val="0"/>
          <c:showBubbleSize val="0"/>
        </c:dLbls>
        <c:gapWidth val="219"/>
        <c:overlap val="-27"/>
        <c:axId val="683976408"/>
        <c:axId val="491438632"/>
      </c:barChart>
      <c:catAx>
        <c:axId val="683976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38632"/>
        <c:crosses val="autoZero"/>
        <c:auto val="1"/>
        <c:lblAlgn val="ctr"/>
        <c:lblOffset val="100"/>
        <c:noMultiLvlLbl val="0"/>
      </c:catAx>
      <c:valAx>
        <c:axId val="491438632"/>
        <c:scaling>
          <c:orientation val="minMax"/>
        </c:scaling>
        <c:delete val="1"/>
        <c:axPos val="l"/>
        <c:numFmt formatCode="0.00%" sourceLinked="1"/>
        <c:majorTickMark val="none"/>
        <c:minorTickMark val="none"/>
        <c:tickLblPos val="nextTo"/>
        <c:crossAx val="683976408"/>
        <c:crosses val="autoZero"/>
        <c:crossBetween val="between"/>
      </c:valAx>
      <c:spPr>
        <a:noFill/>
        <a:ln w="25400">
          <a:noFill/>
        </a:ln>
        <a:effectLst>
          <a:outerShdw blurRad="50800" dist="38100" dir="5400000" algn="t"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[Sales_Dashboard.xlsx]PivotTable!PivotTable10</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2000" b="1"/>
              <a:t>Units</a:t>
            </a:r>
            <a:r>
              <a:rPr lang="en-US" sz="2000" b="1" baseline="0"/>
              <a:t> Sold by Year</a:t>
            </a:r>
            <a:endParaRPr lang="en-US" sz="2000" b="1"/>
          </a:p>
        </c:rich>
      </c:tx>
      <c:layout>
        <c:manualLayout>
          <c:xMode val="edge"/>
          <c:yMode val="edge"/>
          <c:x val="2.3666666666666655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PivotTable!$M$10:$M$11</c:f>
              <c:strCache>
                <c:ptCount val="1"/>
                <c:pt idx="0">
                  <c:v>Enterprise</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PivotTable!$L$12:$L$15</c:f>
              <c:strCache>
                <c:ptCount val="3"/>
                <c:pt idx="0">
                  <c:v>2019</c:v>
                </c:pt>
                <c:pt idx="1">
                  <c:v>2021</c:v>
                </c:pt>
                <c:pt idx="2">
                  <c:v>2022</c:v>
                </c:pt>
              </c:strCache>
            </c:strRef>
          </c:cat>
          <c:val>
            <c:numRef>
              <c:f>PivotTable!$M$12:$M$15</c:f>
              <c:numCache>
                <c:formatCode>0</c:formatCode>
                <c:ptCount val="3"/>
                <c:pt idx="0">
                  <c:v>7981</c:v>
                </c:pt>
                <c:pt idx="1">
                  <c:v>5681</c:v>
                </c:pt>
              </c:numCache>
            </c:numRef>
          </c:val>
          <c:extLst>
            <c:ext xmlns:c16="http://schemas.microsoft.com/office/drawing/2014/chart" uri="{C3380CC4-5D6E-409C-BE32-E72D297353CC}">
              <c16:uniqueId val="{00000000-BA80-4266-B287-D71E60248ABD}"/>
            </c:ext>
          </c:extLst>
        </c:ser>
        <c:ser>
          <c:idx val="1"/>
          <c:order val="1"/>
          <c:tx>
            <c:strRef>
              <c:f>PivotTable!$N$10:$N$11</c:f>
              <c:strCache>
                <c:ptCount val="1"/>
                <c:pt idx="0">
                  <c:v>Government</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PivotTable!$L$12:$L$15</c:f>
              <c:strCache>
                <c:ptCount val="3"/>
                <c:pt idx="0">
                  <c:v>2019</c:v>
                </c:pt>
                <c:pt idx="1">
                  <c:v>2021</c:v>
                </c:pt>
                <c:pt idx="2">
                  <c:v>2022</c:v>
                </c:pt>
              </c:strCache>
            </c:strRef>
          </c:cat>
          <c:val>
            <c:numRef>
              <c:f>PivotTable!$N$12:$N$15</c:f>
              <c:numCache>
                <c:formatCode>0</c:formatCode>
                <c:ptCount val="3"/>
                <c:pt idx="0">
                  <c:v>19376</c:v>
                </c:pt>
                <c:pt idx="1">
                  <c:v>22808</c:v>
                </c:pt>
                <c:pt idx="2">
                  <c:v>6352</c:v>
                </c:pt>
              </c:numCache>
            </c:numRef>
          </c:val>
          <c:extLst>
            <c:ext xmlns:c16="http://schemas.microsoft.com/office/drawing/2014/chart" uri="{C3380CC4-5D6E-409C-BE32-E72D297353CC}">
              <c16:uniqueId val="{0000000D-BA80-4266-B287-D71E60248ABD}"/>
            </c:ext>
          </c:extLst>
        </c:ser>
        <c:ser>
          <c:idx val="2"/>
          <c:order val="2"/>
          <c:tx>
            <c:strRef>
              <c:f>PivotTable!$O$10:$O$11</c:f>
              <c:strCache>
                <c:ptCount val="1"/>
                <c:pt idx="0">
                  <c:v>Midmarket</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PivotTable!$L$12:$L$15</c:f>
              <c:strCache>
                <c:ptCount val="3"/>
                <c:pt idx="0">
                  <c:v>2019</c:v>
                </c:pt>
                <c:pt idx="1">
                  <c:v>2021</c:v>
                </c:pt>
                <c:pt idx="2">
                  <c:v>2022</c:v>
                </c:pt>
              </c:strCache>
            </c:strRef>
          </c:cat>
          <c:val>
            <c:numRef>
              <c:f>PivotTable!$O$12:$O$15</c:f>
              <c:numCache>
                <c:formatCode>0</c:formatCode>
                <c:ptCount val="3"/>
                <c:pt idx="0">
                  <c:v>15689</c:v>
                </c:pt>
                <c:pt idx="1">
                  <c:v>18303</c:v>
                </c:pt>
                <c:pt idx="2">
                  <c:v>8927</c:v>
                </c:pt>
              </c:numCache>
            </c:numRef>
          </c:val>
          <c:extLst>
            <c:ext xmlns:c16="http://schemas.microsoft.com/office/drawing/2014/chart" uri="{C3380CC4-5D6E-409C-BE32-E72D297353CC}">
              <c16:uniqueId val="{00000001-2DB3-48E4-B160-F1D9A84498DD}"/>
            </c:ext>
          </c:extLst>
        </c:ser>
        <c:ser>
          <c:idx val="3"/>
          <c:order val="3"/>
          <c:tx>
            <c:strRef>
              <c:f>PivotTable!$P$10:$P$11</c:f>
              <c:strCache>
                <c:ptCount val="1"/>
                <c:pt idx="0">
                  <c:v>Small Business</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PivotTable!$L$12:$L$15</c:f>
              <c:strCache>
                <c:ptCount val="3"/>
                <c:pt idx="0">
                  <c:v>2019</c:v>
                </c:pt>
                <c:pt idx="1">
                  <c:v>2021</c:v>
                </c:pt>
                <c:pt idx="2">
                  <c:v>2022</c:v>
                </c:pt>
              </c:strCache>
            </c:strRef>
          </c:cat>
          <c:val>
            <c:numRef>
              <c:f>PivotTable!$P$12:$P$15</c:f>
              <c:numCache>
                <c:formatCode>0</c:formatCode>
                <c:ptCount val="3"/>
                <c:pt idx="0">
                  <c:v>3747</c:v>
                </c:pt>
                <c:pt idx="1">
                  <c:v>3035</c:v>
                </c:pt>
              </c:numCache>
            </c:numRef>
          </c:val>
          <c:extLst>
            <c:ext xmlns:c16="http://schemas.microsoft.com/office/drawing/2014/chart" uri="{C3380CC4-5D6E-409C-BE32-E72D297353CC}">
              <c16:uniqueId val="{00000002-2DB3-48E4-B160-F1D9A84498DD}"/>
            </c:ext>
          </c:extLst>
        </c:ser>
        <c:dLbls>
          <c:dLblPos val="ctr"/>
          <c:showLegendKey val="0"/>
          <c:showVal val="1"/>
          <c:showCatName val="0"/>
          <c:showSerName val="0"/>
          <c:showPercent val="0"/>
          <c:showBubbleSize val="0"/>
        </c:dLbls>
        <c:gapWidth val="150"/>
        <c:overlap val="100"/>
        <c:axId val="443138568"/>
        <c:axId val="443141448"/>
      </c:barChart>
      <c:catAx>
        <c:axId val="443138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3141448"/>
        <c:crosses val="autoZero"/>
        <c:auto val="1"/>
        <c:lblAlgn val="ctr"/>
        <c:lblOffset val="100"/>
        <c:noMultiLvlLbl val="0"/>
      </c:catAx>
      <c:valAx>
        <c:axId val="443141448"/>
        <c:scaling>
          <c:orientation val="minMax"/>
        </c:scaling>
        <c:delete val="1"/>
        <c:axPos val="l"/>
        <c:numFmt formatCode="0%" sourceLinked="1"/>
        <c:majorTickMark val="none"/>
        <c:minorTickMark val="none"/>
        <c:tickLblPos val="nextTo"/>
        <c:crossAx val="443138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1"/>
      </a:solidFill>
      <a:prstDash val="solid"/>
      <a:miter lim="800000"/>
    </a:ln>
    <a:effectLst>
      <a:outerShdw blurRad="50800" dist="38100" dir="16200000"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[Sales_Dashboard.xlsx]PivotTable!PivotTable11</c:name>
    <c:fmtId val="1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2000" b="1"/>
              <a:t>Country</a:t>
            </a:r>
            <a:r>
              <a:rPr lang="en-US" sz="2000" b="1" baseline="0"/>
              <a:t> Wise Sales</a:t>
            </a:r>
            <a:endParaRPr lang="en-US" sz="2000" b="1"/>
          </a:p>
        </c:rich>
      </c:tx>
      <c:layout>
        <c:manualLayout>
          <c:xMode val="edge"/>
          <c:yMode val="edge"/>
          <c:x val="1.9930446194225723E-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5597295129775444"/>
          <c:w val="0.93888888888888888"/>
          <c:h val="0.63662766112569258"/>
        </c:manualLayout>
      </c:layout>
      <c:lineChart>
        <c:grouping val="stacked"/>
        <c:varyColors val="0"/>
        <c:ser>
          <c:idx val="0"/>
          <c:order val="0"/>
          <c:tx>
            <c:strRef>
              <c:f>PivotTable!$M$18:$M$19</c:f>
              <c:strCache>
                <c:ptCount val="1"/>
                <c:pt idx="0">
                  <c:v>Canada</c:v>
                </c:pt>
              </c:strCache>
            </c:strRef>
          </c:tx>
          <c:spPr>
            <a:ln w="28575" cap="rnd">
              <a:solidFill>
                <a:schemeClr val="accent1">
                  <a:shade val="53000"/>
                </a:schemeClr>
              </a:solidFill>
              <a:round/>
            </a:ln>
            <a:effectLst/>
          </c:spPr>
          <c:marker>
            <c:symbol val="none"/>
          </c:marker>
          <c:cat>
            <c:strRef>
              <c:f>PivotTable!$L$20:$L$23</c:f>
              <c:strCache>
                <c:ptCount val="3"/>
                <c:pt idx="0">
                  <c:v>2019</c:v>
                </c:pt>
                <c:pt idx="1">
                  <c:v>2021</c:v>
                </c:pt>
                <c:pt idx="2">
                  <c:v>2022</c:v>
                </c:pt>
              </c:strCache>
            </c:strRef>
          </c:cat>
          <c:val>
            <c:numRef>
              <c:f>PivotTable!$M$20:$M$23</c:f>
              <c:numCache>
                <c:formatCode>"$"#,"k"</c:formatCode>
                <c:ptCount val="3"/>
                <c:pt idx="0">
                  <c:v>1730317.5</c:v>
                </c:pt>
                <c:pt idx="1">
                  <c:v>7488390</c:v>
                </c:pt>
                <c:pt idx="2">
                  <c:v>32370</c:v>
                </c:pt>
              </c:numCache>
            </c:numRef>
          </c:val>
          <c:smooth val="0"/>
          <c:extLst>
            <c:ext xmlns:c16="http://schemas.microsoft.com/office/drawing/2014/chart" uri="{C3380CC4-5D6E-409C-BE32-E72D297353CC}">
              <c16:uniqueId val="{00000000-BEE5-44D7-B425-CBCD02E6F5F5}"/>
            </c:ext>
          </c:extLst>
        </c:ser>
        <c:ser>
          <c:idx val="1"/>
          <c:order val="1"/>
          <c:tx>
            <c:strRef>
              <c:f>PivotTable!$N$18:$N$19</c:f>
              <c:strCache>
                <c:ptCount val="1"/>
                <c:pt idx="0">
                  <c:v>France</c:v>
                </c:pt>
              </c:strCache>
            </c:strRef>
          </c:tx>
          <c:spPr>
            <a:ln w="28575" cap="rnd">
              <a:solidFill>
                <a:schemeClr val="accent1">
                  <a:shade val="76000"/>
                </a:schemeClr>
              </a:solidFill>
              <a:round/>
            </a:ln>
            <a:effectLst/>
          </c:spPr>
          <c:marker>
            <c:symbol val="none"/>
          </c:marker>
          <c:cat>
            <c:strRef>
              <c:f>PivotTable!$L$20:$L$23</c:f>
              <c:strCache>
                <c:ptCount val="3"/>
                <c:pt idx="0">
                  <c:v>2019</c:v>
                </c:pt>
                <c:pt idx="1">
                  <c:v>2021</c:v>
                </c:pt>
                <c:pt idx="2">
                  <c:v>2022</c:v>
                </c:pt>
              </c:strCache>
            </c:strRef>
          </c:cat>
          <c:val>
            <c:numRef>
              <c:f>PivotTable!$N$20:$N$23</c:f>
              <c:numCache>
                <c:formatCode>"$"#,"k"</c:formatCode>
                <c:ptCount val="3"/>
                <c:pt idx="0">
                  <c:v>304385</c:v>
                </c:pt>
                <c:pt idx="1">
                  <c:v>3448037</c:v>
                </c:pt>
                <c:pt idx="2">
                  <c:v>70650</c:v>
                </c:pt>
              </c:numCache>
            </c:numRef>
          </c:val>
          <c:smooth val="0"/>
          <c:extLst>
            <c:ext xmlns:c16="http://schemas.microsoft.com/office/drawing/2014/chart" uri="{C3380CC4-5D6E-409C-BE32-E72D297353CC}">
              <c16:uniqueId val="{00000006-BEE5-44D7-B425-CBCD02E6F5F5}"/>
            </c:ext>
          </c:extLst>
        </c:ser>
        <c:ser>
          <c:idx val="2"/>
          <c:order val="2"/>
          <c:tx>
            <c:strRef>
              <c:f>PivotTable!$O$18:$O$19</c:f>
              <c:strCache>
                <c:ptCount val="1"/>
                <c:pt idx="0">
                  <c:v>Germany</c:v>
                </c:pt>
              </c:strCache>
            </c:strRef>
          </c:tx>
          <c:spPr>
            <a:ln w="28575" cap="rnd">
              <a:solidFill>
                <a:schemeClr val="accent1"/>
              </a:solidFill>
              <a:round/>
            </a:ln>
            <a:effectLst/>
          </c:spPr>
          <c:marker>
            <c:symbol val="none"/>
          </c:marker>
          <c:cat>
            <c:strRef>
              <c:f>PivotTable!$L$20:$L$23</c:f>
              <c:strCache>
                <c:ptCount val="3"/>
                <c:pt idx="0">
                  <c:v>2019</c:v>
                </c:pt>
                <c:pt idx="1">
                  <c:v>2021</c:v>
                </c:pt>
                <c:pt idx="2">
                  <c:v>2022</c:v>
                </c:pt>
              </c:strCache>
            </c:strRef>
          </c:cat>
          <c:val>
            <c:numRef>
              <c:f>PivotTable!$O$20:$O$23</c:f>
              <c:numCache>
                <c:formatCode>"$"#,"k"</c:formatCode>
                <c:ptCount val="3"/>
                <c:pt idx="0">
                  <c:v>1831877</c:v>
                </c:pt>
                <c:pt idx="1">
                  <c:v>6148022</c:v>
                </c:pt>
                <c:pt idx="2">
                  <c:v>583105</c:v>
                </c:pt>
              </c:numCache>
            </c:numRef>
          </c:val>
          <c:smooth val="0"/>
          <c:extLst>
            <c:ext xmlns:c16="http://schemas.microsoft.com/office/drawing/2014/chart" uri="{C3380CC4-5D6E-409C-BE32-E72D297353CC}">
              <c16:uniqueId val="{00000001-4D03-40BB-9702-4D81C5C882A2}"/>
            </c:ext>
          </c:extLst>
        </c:ser>
        <c:ser>
          <c:idx val="3"/>
          <c:order val="3"/>
          <c:tx>
            <c:strRef>
              <c:f>PivotTable!$P$18:$P$19</c:f>
              <c:strCache>
                <c:ptCount val="1"/>
                <c:pt idx="0">
                  <c:v>Mexico</c:v>
                </c:pt>
              </c:strCache>
            </c:strRef>
          </c:tx>
          <c:spPr>
            <a:ln w="28575" cap="rnd">
              <a:solidFill>
                <a:schemeClr val="accent1">
                  <a:tint val="77000"/>
                </a:schemeClr>
              </a:solidFill>
              <a:round/>
            </a:ln>
            <a:effectLst/>
          </c:spPr>
          <c:marker>
            <c:symbol val="none"/>
          </c:marker>
          <c:cat>
            <c:strRef>
              <c:f>PivotTable!$L$20:$L$23</c:f>
              <c:strCache>
                <c:ptCount val="3"/>
                <c:pt idx="0">
                  <c:v>2019</c:v>
                </c:pt>
                <c:pt idx="1">
                  <c:v>2021</c:v>
                </c:pt>
                <c:pt idx="2">
                  <c:v>2022</c:v>
                </c:pt>
              </c:strCache>
            </c:strRef>
          </c:cat>
          <c:val>
            <c:numRef>
              <c:f>PivotTable!$P$20:$P$23</c:f>
              <c:numCache>
                <c:formatCode>"$"#,"k"</c:formatCode>
                <c:ptCount val="3"/>
                <c:pt idx="0">
                  <c:v>666222</c:v>
                </c:pt>
                <c:pt idx="1">
                  <c:v>6689232</c:v>
                </c:pt>
                <c:pt idx="2">
                  <c:v>74100</c:v>
                </c:pt>
              </c:numCache>
            </c:numRef>
          </c:val>
          <c:smooth val="0"/>
          <c:extLst>
            <c:ext xmlns:c16="http://schemas.microsoft.com/office/drawing/2014/chart" uri="{C3380CC4-5D6E-409C-BE32-E72D297353CC}">
              <c16:uniqueId val="{00000002-4D03-40BB-9702-4D81C5C882A2}"/>
            </c:ext>
          </c:extLst>
        </c:ser>
        <c:ser>
          <c:idx val="4"/>
          <c:order val="4"/>
          <c:tx>
            <c:strRef>
              <c:f>PivotTable!$Q$18:$Q$19</c:f>
              <c:strCache>
                <c:ptCount val="1"/>
                <c:pt idx="0">
                  <c:v>United States of America</c:v>
                </c:pt>
              </c:strCache>
            </c:strRef>
          </c:tx>
          <c:spPr>
            <a:ln w="28575" cap="rnd">
              <a:solidFill>
                <a:schemeClr val="accent1">
                  <a:tint val="54000"/>
                </a:schemeClr>
              </a:solidFill>
              <a:round/>
            </a:ln>
            <a:effectLst/>
          </c:spPr>
          <c:marker>
            <c:symbol val="none"/>
          </c:marker>
          <c:cat>
            <c:strRef>
              <c:f>PivotTable!$L$20:$L$23</c:f>
              <c:strCache>
                <c:ptCount val="3"/>
                <c:pt idx="0">
                  <c:v>2019</c:v>
                </c:pt>
                <c:pt idx="1">
                  <c:v>2021</c:v>
                </c:pt>
                <c:pt idx="2">
                  <c:v>2022</c:v>
                </c:pt>
              </c:strCache>
            </c:strRef>
          </c:cat>
          <c:val>
            <c:numRef>
              <c:f>PivotTable!$Q$20:$Q$23</c:f>
              <c:numCache>
                <c:formatCode>"$"#,"k"</c:formatCode>
                <c:ptCount val="3"/>
                <c:pt idx="0">
                  <c:v>369851</c:v>
                </c:pt>
                <c:pt idx="1">
                  <c:v>2661585</c:v>
                </c:pt>
              </c:numCache>
            </c:numRef>
          </c:val>
          <c:smooth val="0"/>
          <c:extLst>
            <c:ext xmlns:c16="http://schemas.microsoft.com/office/drawing/2014/chart" uri="{C3380CC4-5D6E-409C-BE32-E72D297353CC}">
              <c16:uniqueId val="{00000003-4D03-40BB-9702-4D81C5C882A2}"/>
            </c:ext>
          </c:extLst>
        </c:ser>
        <c:dLbls>
          <c:showLegendKey val="0"/>
          <c:showVal val="0"/>
          <c:showCatName val="0"/>
          <c:showSerName val="0"/>
          <c:showPercent val="0"/>
          <c:showBubbleSize val="0"/>
        </c:dLbls>
        <c:smooth val="0"/>
        <c:axId val="683901872"/>
        <c:axId val="683903312"/>
      </c:lineChart>
      <c:catAx>
        <c:axId val="68390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3903312"/>
        <c:crosses val="autoZero"/>
        <c:auto val="1"/>
        <c:lblAlgn val="ctr"/>
        <c:lblOffset val="100"/>
        <c:noMultiLvlLbl val="0"/>
      </c:catAx>
      <c:valAx>
        <c:axId val="683903312"/>
        <c:scaling>
          <c:orientation val="minMax"/>
        </c:scaling>
        <c:delete val="1"/>
        <c:axPos val="l"/>
        <c:numFmt formatCode="&quot;$&quot;#,&quot;k&quot;" sourceLinked="1"/>
        <c:majorTickMark val="none"/>
        <c:minorTickMark val="none"/>
        <c:tickLblPos val="nextTo"/>
        <c:crossAx val="6839018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1"/>
      </a:solidFill>
      <a:prstDash val="solid"/>
      <a:miter lim="800000"/>
    </a:ln>
    <a:effectLst>
      <a:outerShdw blurRad="50800" dist="38100" dir="5400000" algn="t"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[Sales_Dashboard.xlsx]PivotTable!PivotTable12</c:name>
    <c:fmtId val="4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66426356080489934"/>
          <c:h val="1.8518518518518517E-2"/>
        </c:manualLayout>
      </c:layout>
      <c:lineChart>
        <c:grouping val="standard"/>
        <c:varyColors val="0"/>
        <c:ser>
          <c:idx val="0"/>
          <c:order val="0"/>
          <c:tx>
            <c:strRef>
              <c:f>PivotTable!$M$2:$M$3</c:f>
              <c:strCache>
                <c:ptCount val="1"/>
                <c:pt idx="0">
                  <c:v>Enterprise</c:v>
                </c:pt>
              </c:strCache>
            </c:strRef>
          </c:tx>
          <c:spPr>
            <a:ln w="28575" cap="rnd">
              <a:solidFill>
                <a:schemeClr val="accent1">
                  <a:shade val="58000"/>
                </a:schemeClr>
              </a:solidFill>
              <a:round/>
            </a:ln>
            <a:effectLst/>
          </c:spPr>
          <c:marker>
            <c:symbol val="none"/>
          </c:marker>
          <c:cat>
            <c:strRef>
              <c:f>PivotTable!$L$4:$L$7</c:f>
              <c:strCache>
                <c:ptCount val="3"/>
                <c:pt idx="0">
                  <c:v>2019</c:v>
                </c:pt>
                <c:pt idx="1">
                  <c:v>2021</c:v>
                </c:pt>
                <c:pt idx="2">
                  <c:v>2022</c:v>
                </c:pt>
              </c:strCache>
            </c:strRef>
          </c:cat>
          <c:val>
            <c:numRef>
              <c:f>PivotTable!$M$4:$M$7</c:f>
              <c:numCache>
                <c:formatCode>0.00%</c:formatCode>
                <c:ptCount val="3"/>
                <c:pt idx="1">
                  <c:v>73.206077313451544</c:v>
                </c:pt>
                <c:pt idx="2">
                  <c:v>#N/A</c:v>
                </c:pt>
              </c:numCache>
            </c:numRef>
          </c:val>
          <c:smooth val="0"/>
          <c:extLst>
            <c:ext xmlns:c16="http://schemas.microsoft.com/office/drawing/2014/chart" uri="{C3380CC4-5D6E-409C-BE32-E72D297353CC}">
              <c16:uniqueId val="{00000000-B98B-4994-9DE4-248DCD6EF942}"/>
            </c:ext>
          </c:extLst>
        </c:ser>
        <c:ser>
          <c:idx val="1"/>
          <c:order val="1"/>
          <c:tx>
            <c:strRef>
              <c:f>PivotTable!$N$2:$N$3</c:f>
              <c:strCache>
                <c:ptCount val="1"/>
                <c:pt idx="0">
                  <c:v>Government</c:v>
                </c:pt>
              </c:strCache>
            </c:strRef>
          </c:tx>
          <c:spPr>
            <a:ln w="28575" cap="rnd">
              <a:solidFill>
                <a:schemeClr val="accent1">
                  <a:shade val="86000"/>
                </a:schemeClr>
              </a:solidFill>
              <a:round/>
            </a:ln>
            <a:effectLst/>
          </c:spPr>
          <c:marker>
            <c:symbol val="none"/>
          </c:marker>
          <c:cat>
            <c:strRef>
              <c:f>PivotTable!$L$4:$L$7</c:f>
              <c:strCache>
                <c:ptCount val="3"/>
                <c:pt idx="0">
                  <c:v>2019</c:v>
                </c:pt>
                <c:pt idx="1">
                  <c:v>2021</c:v>
                </c:pt>
                <c:pt idx="2">
                  <c:v>2022</c:v>
                </c:pt>
              </c:strCache>
            </c:strRef>
          </c:cat>
          <c:val>
            <c:numRef>
              <c:f>PivotTable!$N$4:$N$7</c:f>
              <c:numCache>
                <c:formatCode>0.00%</c:formatCode>
                <c:ptCount val="3"/>
                <c:pt idx="1">
                  <c:v>8.236012908372313</c:v>
                </c:pt>
                <c:pt idx="2">
                  <c:v>-0.97101837311557793</c:v>
                </c:pt>
              </c:numCache>
            </c:numRef>
          </c:val>
          <c:smooth val="0"/>
          <c:extLst>
            <c:ext xmlns:c16="http://schemas.microsoft.com/office/drawing/2014/chart" uri="{C3380CC4-5D6E-409C-BE32-E72D297353CC}">
              <c16:uniqueId val="{0000000A-B98B-4994-9DE4-248DCD6EF942}"/>
            </c:ext>
          </c:extLst>
        </c:ser>
        <c:ser>
          <c:idx val="2"/>
          <c:order val="2"/>
          <c:tx>
            <c:strRef>
              <c:f>PivotTable!$O$2:$O$3</c:f>
              <c:strCache>
                <c:ptCount val="1"/>
                <c:pt idx="0">
                  <c:v>Midmarket</c:v>
                </c:pt>
              </c:strCache>
            </c:strRef>
          </c:tx>
          <c:spPr>
            <a:ln w="28575" cap="rnd">
              <a:solidFill>
                <a:schemeClr val="accent1">
                  <a:tint val="86000"/>
                </a:schemeClr>
              </a:solidFill>
              <a:round/>
            </a:ln>
            <a:effectLst/>
          </c:spPr>
          <c:marker>
            <c:symbol val="none"/>
          </c:marker>
          <c:cat>
            <c:strRef>
              <c:f>PivotTable!$L$4:$L$7</c:f>
              <c:strCache>
                <c:ptCount val="3"/>
                <c:pt idx="0">
                  <c:v>2019</c:v>
                </c:pt>
                <c:pt idx="1">
                  <c:v>2021</c:v>
                </c:pt>
                <c:pt idx="2">
                  <c:v>2022</c:v>
                </c:pt>
              </c:strCache>
            </c:strRef>
          </c:cat>
          <c:val>
            <c:numRef>
              <c:f>PivotTable!$O$4:$O$7</c:f>
              <c:numCache>
                <c:formatCode>0.00%</c:formatCode>
                <c:ptCount val="3"/>
                <c:pt idx="1">
                  <c:v>59.807878131174711</c:v>
                </c:pt>
                <c:pt idx="2">
                  <c:v>-0.99064270281760824</c:v>
                </c:pt>
              </c:numCache>
            </c:numRef>
          </c:val>
          <c:smooth val="0"/>
          <c:extLst>
            <c:ext xmlns:c16="http://schemas.microsoft.com/office/drawing/2014/chart" uri="{C3380CC4-5D6E-409C-BE32-E72D297353CC}">
              <c16:uniqueId val="{00000001-5700-4F39-9E66-26AD5E75E827}"/>
            </c:ext>
          </c:extLst>
        </c:ser>
        <c:ser>
          <c:idx val="3"/>
          <c:order val="3"/>
          <c:tx>
            <c:strRef>
              <c:f>PivotTable!$P$2:$P$3</c:f>
              <c:strCache>
                <c:ptCount val="1"/>
                <c:pt idx="0">
                  <c:v>Small Business</c:v>
                </c:pt>
              </c:strCache>
            </c:strRef>
          </c:tx>
          <c:spPr>
            <a:ln w="28575" cap="rnd">
              <a:solidFill>
                <a:schemeClr val="accent1">
                  <a:tint val="58000"/>
                </a:schemeClr>
              </a:solidFill>
              <a:round/>
            </a:ln>
            <a:effectLst/>
          </c:spPr>
          <c:marker>
            <c:symbol val="none"/>
          </c:marker>
          <c:cat>
            <c:strRef>
              <c:f>PivotTable!$L$4:$L$7</c:f>
              <c:strCache>
                <c:ptCount val="3"/>
                <c:pt idx="0">
                  <c:v>2019</c:v>
                </c:pt>
                <c:pt idx="1">
                  <c:v>2021</c:v>
                </c:pt>
                <c:pt idx="2">
                  <c:v>2022</c:v>
                </c:pt>
              </c:strCache>
            </c:strRef>
          </c:cat>
          <c:val>
            <c:numRef>
              <c:f>PivotTable!$P$4:$P$7</c:f>
              <c:numCache>
                <c:formatCode>0.00%</c:formatCode>
                <c:ptCount val="3"/>
                <c:pt idx="1">
                  <c:v>6.8860475046704028</c:v>
                </c:pt>
                <c:pt idx="2">
                  <c:v>#N/A</c:v>
                </c:pt>
              </c:numCache>
            </c:numRef>
          </c:val>
          <c:smooth val="0"/>
          <c:extLst>
            <c:ext xmlns:c16="http://schemas.microsoft.com/office/drawing/2014/chart" uri="{C3380CC4-5D6E-409C-BE32-E72D297353CC}">
              <c16:uniqueId val="{00000002-5700-4F39-9E66-26AD5E75E827}"/>
            </c:ext>
          </c:extLst>
        </c:ser>
        <c:dLbls>
          <c:showLegendKey val="0"/>
          <c:showVal val="0"/>
          <c:showCatName val="0"/>
          <c:showSerName val="0"/>
          <c:showPercent val="0"/>
          <c:showBubbleSize val="0"/>
        </c:dLbls>
        <c:smooth val="0"/>
        <c:axId val="592581432"/>
        <c:axId val="592579992"/>
      </c:lineChart>
      <c:catAx>
        <c:axId val="592581432"/>
        <c:scaling>
          <c:orientation val="minMax"/>
        </c:scaling>
        <c:delete val="1"/>
        <c:axPos val="b"/>
        <c:numFmt formatCode="General" sourceLinked="1"/>
        <c:majorTickMark val="none"/>
        <c:minorTickMark val="none"/>
        <c:tickLblPos val="nextTo"/>
        <c:crossAx val="592579992"/>
        <c:crosses val="autoZero"/>
        <c:auto val="1"/>
        <c:lblAlgn val="ctr"/>
        <c:lblOffset val="100"/>
        <c:noMultiLvlLbl val="0"/>
      </c:catAx>
      <c:valAx>
        <c:axId val="592579992"/>
        <c:scaling>
          <c:orientation val="minMax"/>
        </c:scaling>
        <c:delete val="1"/>
        <c:axPos val="l"/>
        <c:numFmt formatCode="0.00%" sourceLinked="1"/>
        <c:majorTickMark val="none"/>
        <c:minorTickMark val="none"/>
        <c:tickLblPos val="nextTo"/>
        <c:crossAx val="592581432"/>
        <c:crosses val="autoZero"/>
        <c:crossBetween val="between"/>
      </c:valAx>
      <c:spPr>
        <a:noFill/>
        <a:ln w="25400">
          <a:noFill/>
        </a:ln>
        <a:effectLst/>
      </c:spPr>
    </c:plotArea>
    <c:legend>
      <c:legendPos val="t"/>
      <c:layout>
        <c:manualLayout>
          <c:xMode val="edge"/>
          <c:yMode val="edge"/>
          <c:x val="0.13850163439723179"/>
          <c:y val="0.26314273344878114"/>
          <c:w val="0.55659772725121281"/>
          <c:h val="0.356856933528706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dk1"/>
      </a:solidFill>
      <a:prstDash val="solid"/>
      <a:miter lim="800000"/>
    </a:ln>
    <a:effectLst>
      <a:outerShdw blurRad="50800" dist="38100" dir="16200000"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146958</xdr:colOff>
      <xdr:row>0</xdr:row>
      <xdr:rowOff>0</xdr:rowOff>
    </xdr:from>
    <xdr:to>
      <xdr:col>1</xdr:col>
      <xdr:colOff>517409</xdr:colOff>
      <xdr:row>1</xdr:row>
      <xdr:rowOff>32656</xdr:rowOff>
    </xdr:to>
    <xdr:pic>
      <xdr:nvPicPr>
        <xdr:cNvPr id="2" name="Picture 1" descr="Chart Bar Icon 128x128 png">
          <a:extLst>
            <a:ext uri="{FF2B5EF4-FFF2-40B4-BE49-F238E27FC236}">
              <a16:creationId xmlns:a16="http://schemas.microsoft.com/office/drawing/2014/main" id="{2603E5E4-3CBB-491B-8D54-A5B3CBBA2D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958" y="0"/>
          <a:ext cx="980051" cy="1088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530919</xdr:colOff>
      <xdr:row>0</xdr:row>
      <xdr:rowOff>18277</xdr:rowOff>
    </xdr:from>
    <xdr:to>
      <xdr:col>3</xdr:col>
      <xdr:colOff>304016</xdr:colOff>
      <xdr:row>1</xdr:row>
      <xdr:rowOff>10886</xdr:rowOff>
    </xdr:to>
    <xdr:pic>
      <xdr:nvPicPr>
        <xdr:cNvPr id="4" name="Picture 3" descr="Dollar Sack Icon 128x128 png">
          <a:extLst>
            <a:ext uri="{FF2B5EF4-FFF2-40B4-BE49-F238E27FC236}">
              <a16:creationId xmlns:a16="http://schemas.microsoft.com/office/drawing/2014/main" id="{63831C08-D8F8-44D5-ADD5-925E6BEA24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0519" y="18277"/>
          <a:ext cx="992297" cy="1048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xdr:colOff>
      <xdr:row>5</xdr:row>
      <xdr:rowOff>99006</xdr:rowOff>
    </xdr:from>
    <xdr:to>
      <xdr:col>7</xdr:col>
      <xdr:colOff>416720</xdr:colOff>
      <xdr:row>35</xdr:row>
      <xdr:rowOff>166687</xdr:rowOff>
    </xdr:to>
    <xdr:graphicFrame macro="">
      <xdr:nvGraphicFramePr>
        <xdr:cNvPr id="5" name="Chart 4">
          <a:extLst>
            <a:ext uri="{FF2B5EF4-FFF2-40B4-BE49-F238E27FC236}">
              <a16:creationId xmlns:a16="http://schemas.microsoft.com/office/drawing/2014/main" id="{02A7BC0A-D131-43B1-929C-56172721D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510175</xdr:colOff>
      <xdr:row>1</xdr:row>
      <xdr:rowOff>95250</xdr:rowOff>
    </xdr:from>
    <xdr:to>
      <xdr:col>16</xdr:col>
      <xdr:colOff>59312</xdr:colOff>
      <xdr:row>16</xdr:row>
      <xdr:rowOff>177166</xdr:rowOff>
    </xdr:to>
    <xdr:graphicFrame macro="">
      <xdr:nvGraphicFramePr>
        <xdr:cNvPr id="7" name="Chart 6">
          <a:extLst>
            <a:ext uri="{FF2B5EF4-FFF2-40B4-BE49-F238E27FC236}">
              <a16:creationId xmlns:a16="http://schemas.microsoft.com/office/drawing/2014/main" id="{4126CA44-1D18-49CC-AFF3-ED58518DF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500744</xdr:colOff>
      <xdr:row>17</xdr:row>
      <xdr:rowOff>54428</xdr:rowOff>
    </xdr:from>
    <xdr:to>
      <xdr:col>16</xdr:col>
      <xdr:colOff>59532</xdr:colOff>
      <xdr:row>36</xdr:row>
      <xdr:rowOff>10886</xdr:rowOff>
    </xdr:to>
    <xdr:graphicFrame macro="">
      <xdr:nvGraphicFramePr>
        <xdr:cNvPr id="8" name="Chart 7">
          <a:extLst>
            <a:ext uri="{FF2B5EF4-FFF2-40B4-BE49-F238E27FC236}">
              <a16:creationId xmlns:a16="http://schemas.microsoft.com/office/drawing/2014/main" id="{30C40FDE-0215-45D5-B8B6-C99FFC38F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185813</xdr:colOff>
      <xdr:row>1</xdr:row>
      <xdr:rowOff>95250</xdr:rowOff>
    </xdr:from>
    <xdr:to>
      <xdr:col>7</xdr:col>
      <xdr:colOff>450397</xdr:colOff>
      <xdr:row>5</xdr:row>
      <xdr:rowOff>51343</xdr:rowOff>
    </xdr:to>
    <mc:AlternateContent xmlns:mc="http://schemas.openxmlformats.org/markup-compatibility/2006" xmlns:a14="http://schemas.microsoft.com/office/drawing/2010/main">
      <mc:Choice Requires="a14">
        <xdr:graphicFrame macro="">
          <xdr:nvGraphicFramePr>
            <xdr:cNvPr id="11" name="Month Name">
              <a:extLst>
                <a:ext uri="{FF2B5EF4-FFF2-40B4-BE49-F238E27FC236}">
                  <a16:creationId xmlns:a16="http://schemas.microsoft.com/office/drawing/2014/main" id="{8F1986F9-42DE-496A-ADBF-A8BD94F9867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405013" y="1151164"/>
              <a:ext cx="3312584" cy="696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95250</xdr:rowOff>
    </xdr:from>
    <xdr:to>
      <xdr:col>2</xdr:col>
      <xdr:colOff>159223</xdr:colOff>
      <xdr:row>5</xdr:row>
      <xdr:rowOff>39970</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CB6093EB-E74F-4BCB-AE92-1581786EA2D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151164"/>
              <a:ext cx="1378423" cy="684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130629</xdr:colOff>
      <xdr:row>1</xdr:row>
      <xdr:rowOff>95250</xdr:rowOff>
    </xdr:from>
    <xdr:to>
      <xdr:col>24</xdr:col>
      <xdr:colOff>500062</xdr:colOff>
      <xdr:row>17</xdr:row>
      <xdr:rowOff>0</xdr:rowOff>
    </xdr:to>
    <xdr:graphicFrame macro="">
      <xdr:nvGraphicFramePr>
        <xdr:cNvPr id="13" name="Chart 12">
          <a:extLst>
            <a:ext uri="{FF2B5EF4-FFF2-40B4-BE49-F238E27FC236}">
              <a16:creationId xmlns:a16="http://schemas.microsoft.com/office/drawing/2014/main" id="{B9806612-3B83-4A6F-9FA4-08658B622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97972</xdr:colOff>
      <xdr:row>0</xdr:row>
      <xdr:rowOff>0</xdr:rowOff>
    </xdr:from>
    <xdr:to>
      <xdr:col>20</xdr:col>
      <xdr:colOff>511629</xdr:colOff>
      <xdr:row>1</xdr:row>
      <xdr:rowOff>98777</xdr:rowOff>
    </xdr:to>
    <xdr:sp macro="" textlink="">
      <xdr:nvSpPr>
        <xdr:cNvPr id="14" name="Rectangle 13">
          <a:extLst>
            <a:ext uri="{FF2B5EF4-FFF2-40B4-BE49-F238E27FC236}">
              <a16:creationId xmlns:a16="http://schemas.microsoft.com/office/drawing/2014/main" id="{BDA7C04B-2712-895C-1988-C9EAC12E4D65}"/>
            </a:ext>
          </a:extLst>
        </xdr:cNvPr>
        <xdr:cNvSpPr/>
      </xdr:nvSpPr>
      <xdr:spPr>
        <a:xfrm>
          <a:off x="2536372" y="0"/>
          <a:ext cx="10167257" cy="11546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500" b="1">
              <a:solidFill>
                <a:schemeClr val="tx1"/>
              </a:solidFill>
              <a:latin typeface="Amasis MT Pro Medium" panose="02040604050005020304" pitchFamily="18" charset="0"/>
            </a:rPr>
            <a:t>Sales</a:t>
          </a:r>
          <a:r>
            <a:rPr lang="en-US" sz="6500" b="1" baseline="0">
              <a:solidFill>
                <a:schemeClr val="tx1"/>
              </a:solidFill>
              <a:latin typeface="Amasis MT Pro Medium" panose="02040604050005020304" pitchFamily="18" charset="0"/>
            </a:rPr>
            <a:t> Analytics Dashboard</a:t>
          </a:r>
          <a:endParaRPr lang="en-US" sz="6500" b="1">
            <a:solidFill>
              <a:schemeClr val="tx1"/>
            </a:solidFill>
            <a:latin typeface="Amasis MT Pro Medium" panose="02040604050005020304" pitchFamily="18" charset="0"/>
          </a:endParaRPr>
        </a:p>
      </xdr:txBody>
    </xdr:sp>
    <xdr:clientData/>
  </xdr:twoCellAnchor>
  <xdr:twoCellAnchor>
    <xdr:from>
      <xdr:col>16</xdr:col>
      <xdr:colOff>130629</xdr:colOff>
      <xdr:row>17</xdr:row>
      <xdr:rowOff>39905</xdr:rowOff>
    </xdr:from>
    <xdr:to>
      <xdr:col>24</xdr:col>
      <xdr:colOff>488157</xdr:colOff>
      <xdr:row>36</xdr:row>
      <xdr:rowOff>10886</xdr:rowOff>
    </xdr:to>
    <xdr:graphicFrame macro="">
      <xdr:nvGraphicFramePr>
        <xdr:cNvPr id="15" name="Chart 14">
          <a:extLst>
            <a:ext uri="{FF2B5EF4-FFF2-40B4-BE49-F238E27FC236}">
              <a16:creationId xmlns:a16="http://schemas.microsoft.com/office/drawing/2014/main" id="{5C958C1E-C4A1-4139-9066-B4EE7E0FE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576943</xdr:colOff>
      <xdr:row>1</xdr:row>
      <xdr:rowOff>95250</xdr:rowOff>
    </xdr:from>
    <xdr:to>
      <xdr:col>33</xdr:col>
      <xdr:colOff>576943</xdr:colOff>
      <xdr:row>17</xdr:row>
      <xdr:rowOff>0</xdr:rowOff>
    </xdr:to>
    <xdr:graphicFrame macro="">
      <xdr:nvGraphicFramePr>
        <xdr:cNvPr id="16" name="Chart 15">
          <a:extLst>
            <a:ext uri="{FF2B5EF4-FFF2-40B4-BE49-F238E27FC236}">
              <a16:creationId xmlns:a16="http://schemas.microsoft.com/office/drawing/2014/main" id="{93F0B9B9-B0C0-4A8A-8C55-C9974B17F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576943</xdr:colOff>
      <xdr:row>17</xdr:row>
      <xdr:rowOff>43542</xdr:rowOff>
    </xdr:from>
    <xdr:to>
      <xdr:col>33</xdr:col>
      <xdr:colOff>587828</xdr:colOff>
      <xdr:row>36</xdr:row>
      <xdr:rowOff>10886</xdr:rowOff>
    </xdr:to>
    <xdr:graphicFrame macro="">
      <xdr:nvGraphicFramePr>
        <xdr:cNvPr id="17" name="Chart 16">
          <a:extLst>
            <a:ext uri="{FF2B5EF4-FFF2-40B4-BE49-F238E27FC236}">
              <a16:creationId xmlns:a16="http://schemas.microsoft.com/office/drawing/2014/main" id="{9735FD02-394E-4121-9CDC-DDF4C1F49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381000</xdr:colOff>
      <xdr:row>0</xdr:row>
      <xdr:rowOff>402772</xdr:rowOff>
    </xdr:from>
    <xdr:to>
      <xdr:col>33</xdr:col>
      <xdr:colOff>566057</xdr:colOff>
      <xdr:row>0</xdr:row>
      <xdr:rowOff>1003332</xdr:rowOff>
    </xdr:to>
    <xdr:graphicFrame macro="">
      <xdr:nvGraphicFramePr>
        <xdr:cNvPr id="18" name="Chart 17">
          <a:extLst>
            <a:ext uri="{FF2B5EF4-FFF2-40B4-BE49-F238E27FC236}">
              <a16:creationId xmlns:a16="http://schemas.microsoft.com/office/drawing/2014/main" id="{DFAC0E06-C7C6-46C1-8F0A-461E405B8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22</xdr:col>
      <xdr:colOff>348343</xdr:colOff>
      <xdr:row>0</xdr:row>
      <xdr:rowOff>43544</xdr:rowOff>
    </xdr:from>
    <xdr:to>
      <xdr:col>32</xdr:col>
      <xdr:colOff>576943</xdr:colOff>
      <xdr:row>0</xdr:row>
      <xdr:rowOff>435429</xdr:rowOff>
    </xdr:to>
    <mc:AlternateContent xmlns:mc="http://schemas.openxmlformats.org/markup-compatibility/2006" xmlns:a14="http://schemas.microsoft.com/office/drawing/2010/main">
      <mc:Choice Requires="a14">
        <xdr:graphicFrame macro="">
          <xdr:nvGraphicFramePr>
            <xdr:cNvPr id="19" name="Segment">
              <a:extLst>
                <a:ext uri="{FF2B5EF4-FFF2-40B4-BE49-F238E27FC236}">
                  <a16:creationId xmlns:a16="http://schemas.microsoft.com/office/drawing/2014/main" id="{EC8DCCA6-0686-456C-ABCC-D320F69F7D1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759543" y="43544"/>
              <a:ext cx="6324600" cy="391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529999537037" createdVersion="8" refreshedVersion="8" minRefreshableVersion="3" recordCount="128" xr:uid="{5D2DFD5B-D730-451D-9BCF-A1612A3CA20A}">
  <cacheSource type="worksheet">
    <worksheetSource name="Table1"/>
  </cacheSource>
  <cacheFields count="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Month Name" numFmtId="0">
      <sharedItems count="12">
        <s v="Jan"/>
        <s v="Jun"/>
        <s v="Dec"/>
        <s v="Mar"/>
        <s v="Apr"/>
        <s v="Jul"/>
        <s v="May"/>
        <s v="Sep"/>
        <s v="Oct"/>
        <s v="Feb"/>
        <s v="Aug"/>
        <s v="Nov"/>
      </sharedItems>
    </cacheField>
    <cacheField name="year" numFmtId="0">
      <sharedItems containsSemiMixedTypes="0" containsString="0" containsNumber="1" containsInteger="1" minValue="2019" maxValue="2022" count="4">
        <n v="2019"/>
        <n v="2020"/>
        <n v="2021"/>
        <n v="2022"/>
      </sharedItems>
    </cacheField>
    <cacheField name="Discount Band" numFmtId="0">
      <sharedItems/>
    </cacheField>
    <cacheField name="Units Sold" numFmtId="1">
      <sharedItems containsSemiMixedTypes="0" containsString="0" containsNumber="1" containsInteger="1" minValue="292" maxValue="2821"/>
    </cacheField>
    <cacheField name=" Sales" numFmtId="164">
      <sharedItems containsSemiMixedTypes="0" containsString="0" containsNumber="1" minValue="4404" maxValue="988598"/>
    </cacheField>
    <cacheField name="COGS" numFmtId="164">
      <sharedItems containsSemiMixedTypes="0" containsString="0" containsNumber="1" containsInteger="1" minValue="1101" maxValue="567509"/>
    </cacheField>
    <cacheField name="Profit" numFmtId="164">
      <sharedItems containsSemiMixedTypes="0" containsString="0" containsNumber="1" minValue="1725" maxValue="677668"/>
    </cacheField>
  </cacheFields>
  <extLst>
    <ext xmlns:x14="http://schemas.microsoft.com/office/spreadsheetml/2009/9/main" uri="{725AE2AE-9491-48be-B2B4-4EB974FC3084}">
      <x14:pivotCacheDefinition pivotCacheId="2108494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
  <r>
    <x v="0"/>
    <x v="0"/>
    <x v="0"/>
    <x v="0"/>
    <s v="None"/>
    <n v="1619"/>
    <n v="32370"/>
    <n v="16185"/>
    <n v="16185"/>
  </r>
  <r>
    <x v="0"/>
    <x v="1"/>
    <x v="0"/>
    <x v="0"/>
    <s v="None"/>
    <n v="1321"/>
    <n v="26420"/>
    <n v="13210"/>
    <n v="13210"/>
  </r>
  <r>
    <x v="1"/>
    <x v="2"/>
    <x v="1"/>
    <x v="0"/>
    <s v="None"/>
    <n v="2178"/>
    <n v="32670"/>
    <n v="21780"/>
    <n v="10890"/>
  </r>
  <r>
    <x v="1"/>
    <x v="1"/>
    <x v="1"/>
    <x v="0"/>
    <s v="None"/>
    <n v="888"/>
    <n v="13320"/>
    <n v="8880"/>
    <n v="4440"/>
  </r>
  <r>
    <x v="1"/>
    <x v="3"/>
    <x v="1"/>
    <x v="0"/>
    <s v="None"/>
    <n v="2470"/>
    <n v="37050"/>
    <n v="24700"/>
    <n v="12350"/>
  </r>
  <r>
    <x v="0"/>
    <x v="1"/>
    <x v="2"/>
    <x v="0"/>
    <s v="None"/>
    <n v="1513"/>
    <n v="529550"/>
    <n v="393380"/>
    <n v="136170"/>
  </r>
  <r>
    <x v="1"/>
    <x v="1"/>
    <x v="3"/>
    <x v="0"/>
    <s v="None"/>
    <n v="921"/>
    <n v="13815"/>
    <n v="9210"/>
    <n v="4605"/>
  </r>
  <r>
    <x v="2"/>
    <x v="0"/>
    <x v="1"/>
    <x v="0"/>
    <s v="None"/>
    <n v="2518"/>
    <n v="30216"/>
    <n v="7554"/>
    <n v="22662"/>
  </r>
  <r>
    <x v="0"/>
    <x v="2"/>
    <x v="1"/>
    <x v="0"/>
    <s v="None"/>
    <n v="1899"/>
    <n v="37980"/>
    <n v="18990"/>
    <n v="18990"/>
  </r>
  <r>
    <x v="2"/>
    <x v="1"/>
    <x v="4"/>
    <x v="0"/>
    <s v="High"/>
    <n v="1545"/>
    <n v="18540"/>
    <n v="4635"/>
    <n v="13905"/>
  </r>
  <r>
    <x v="1"/>
    <x v="3"/>
    <x v="4"/>
    <x v="0"/>
    <s v="High"/>
    <n v="2470"/>
    <n v="37050"/>
    <n v="24700"/>
    <n v="12350"/>
  </r>
  <r>
    <x v="3"/>
    <x v="0"/>
    <x v="5"/>
    <x v="0"/>
    <s v="High"/>
    <n v="2666"/>
    <n v="333187.5"/>
    <n v="319860"/>
    <n v="13327.5"/>
  </r>
  <r>
    <x v="4"/>
    <x v="3"/>
    <x v="6"/>
    <x v="0"/>
    <s v="High"/>
    <n v="958"/>
    <n v="287400"/>
    <n v="239500"/>
    <n v="47900"/>
  </r>
  <r>
    <x v="0"/>
    <x v="1"/>
    <x v="7"/>
    <x v="0"/>
    <s v="Medium"/>
    <n v="2146"/>
    <n v="15022"/>
    <n v="10730"/>
    <n v="4292"/>
  </r>
  <r>
    <x v="3"/>
    <x v="0"/>
    <x v="8"/>
    <x v="0"/>
    <s v="High"/>
    <n v="345"/>
    <n v="43125"/>
    <n v="41400"/>
    <n v="1725"/>
  </r>
  <r>
    <x v="1"/>
    <x v="4"/>
    <x v="2"/>
    <x v="0"/>
    <s v="High"/>
    <n v="615"/>
    <n v="9225"/>
    <n v="6150"/>
    <n v="3075"/>
  </r>
  <r>
    <x v="0"/>
    <x v="0"/>
    <x v="9"/>
    <x v="0"/>
    <s v="High"/>
    <n v="292"/>
    <n v="5840"/>
    <n v="2920"/>
    <n v="2920"/>
  </r>
  <r>
    <x v="1"/>
    <x v="3"/>
    <x v="9"/>
    <x v="0"/>
    <s v="High"/>
    <n v="974"/>
    <n v="14610"/>
    <n v="9740"/>
    <n v="4870"/>
  </r>
  <r>
    <x v="2"/>
    <x v="0"/>
    <x v="1"/>
    <x v="0"/>
    <s v="Low"/>
    <n v="2518"/>
    <n v="30216"/>
    <n v="7554"/>
    <n v="22662"/>
  </r>
  <r>
    <x v="0"/>
    <x v="1"/>
    <x v="1"/>
    <x v="0"/>
    <s v="Low"/>
    <n v="1006"/>
    <n v="352100"/>
    <n v="261560"/>
    <n v="90540"/>
  </r>
  <r>
    <x v="2"/>
    <x v="1"/>
    <x v="5"/>
    <x v="0"/>
    <s v="High"/>
    <n v="367"/>
    <n v="4404"/>
    <n v="1101"/>
    <n v="3303"/>
  </r>
  <r>
    <x v="0"/>
    <x v="3"/>
    <x v="10"/>
    <x v="0"/>
    <s v="Low"/>
    <n v="883"/>
    <n v="6181"/>
    <n v="4415"/>
    <n v="1766"/>
  </r>
  <r>
    <x v="1"/>
    <x v="2"/>
    <x v="7"/>
    <x v="0"/>
    <s v="Low"/>
    <n v="549"/>
    <n v="8235"/>
    <n v="5490"/>
    <n v="2745"/>
  </r>
  <r>
    <x v="4"/>
    <x v="3"/>
    <x v="7"/>
    <x v="0"/>
    <s v="None"/>
    <n v="788"/>
    <n v="236400"/>
    <n v="197000"/>
    <n v="39400"/>
  </r>
  <r>
    <x v="1"/>
    <x v="3"/>
    <x v="7"/>
    <x v="0"/>
    <s v="None"/>
    <n v="2472"/>
    <n v="37080"/>
    <n v="24720"/>
    <n v="12360"/>
  </r>
  <r>
    <x v="0"/>
    <x v="4"/>
    <x v="8"/>
    <x v="0"/>
    <s v="None"/>
    <n v="1143"/>
    <n v="8001"/>
    <n v="5715"/>
    <n v="2286"/>
  </r>
  <r>
    <x v="0"/>
    <x v="0"/>
    <x v="11"/>
    <x v="0"/>
    <s v="None"/>
    <n v="1725"/>
    <n v="603750"/>
    <n v="448500"/>
    <n v="155250"/>
  </r>
  <r>
    <x v="2"/>
    <x v="4"/>
    <x v="11"/>
    <x v="0"/>
    <s v="None"/>
    <n v="912"/>
    <n v="10944"/>
    <n v="2736"/>
    <n v="8208"/>
  </r>
  <r>
    <x v="1"/>
    <x v="0"/>
    <x v="2"/>
    <x v="0"/>
    <s v="Medium"/>
    <n v="2152"/>
    <n v="32280"/>
    <n v="21520"/>
    <n v="10760"/>
  </r>
  <r>
    <x v="0"/>
    <x v="0"/>
    <x v="2"/>
    <x v="0"/>
    <s v="Medium"/>
    <n v="1817"/>
    <n v="36340"/>
    <n v="18170"/>
    <n v="18170"/>
  </r>
  <r>
    <x v="0"/>
    <x v="1"/>
    <x v="2"/>
    <x v="0"/>
    <s v="Medium"/>
    <n v="1513"/>
    <n v="529550"/>
    <n v="393380"/>
    <n v="136170"/>
  </r>
  <r>
    <x v="0"/>
    <x v="3"/>
    <x v="0"/>
    <x v="0"/>
    <s v="High"/>
    <n v="1493"/>
    <n v="10451"/>
    <n v="7465"/>
    <n v="2986"/>
  </r>
  <r>
    <x v="3"/>
    <x v="2"/>
    <x v="9"/>
    <x v="0"/>
    <s v="High"/>
    <n v="1804"/>
    <n v="225500"/>
    <n v="216480"/>
    <n v="9020"/>
  </r>
  <r>
    <x v="2"/>
    <x v="1"/>
    <x v="3"/>
    <x v="0"/>
    <s v="High"/>
    <n v="2161"/>
    <n v="25932"/>
    <n v="6483"/>
    <n v="19449"/>
  </r>
  <r>
    <x v="0"/>
    <x v="1"/>
    <x v="1"/>
    <x v="0"/>
    <s v="High"/>
    <n v="1006"/>
    <n v="352100"/>
    <n v="261560"/>
    <n v="90540"/>
  </r>
  <r>
    <x v="2"/>
    <x v="1"/>
    <x v="1"/>
    <x v="0"/>
    <s v="Medium"/>
    <n v="1545"/>
    <n v="18540"/>
    <n v="4635"/>
    <n v="13905"/>
  </r>
  <r>
    <x v="3"/>
    <x v="4"/>
    <x v="10"/>
    <x v="0"/>
    <s v="Medium"/>
    <n v="2821"/>
    <n v="352625"/>
    <n v="338520"/>
    <n v="14105"/>
  </r>
  <r>
    <x v="3"/>
    <x v="0"/>
    <x v="8"/>
    <x v="0"/>
    <s v="Medium"/>
    <n v="345"/>
    <n v="43125"/>
    <n v="41400"/>
    <n v="1725"/>
  </r>
  <r>
    <x v="4"/>
    <x v="0"/>
    <x v="9"/>
    <x v="0"/>
    <s v="Medium"/>
    <n v="2001"/>
    <n v="600300"/>
    <n v="500250"/>
    <n v="100050"/>
  </r>
  <r>
    <x v="0"/>
    <x v="0"/>
    <x v="0"/>
    <x v="1"/>
    <s v="None"/>
    <n v="1515"/>
    <n v="235397"/>
    <n v="190391"/>
    <n v="45006"/>
  </r>
  <r>
    <x v="0"/>
    <x v="1"/>
    <x v="0"/>
    <x v="1"/>
    <s v="None"/>
    <n v="849"/>
    <n v="498235"/>
    <n v="462454"/>
    <n v="35781"/>
  </r>
  <r>
    <x v="1"/>
    <x v="2"/>
    <x v="1"/>
    <x v="1"/>
    <s v="None"/>
    <n v="2538"/>
    <n v="12884"/>
    <n v="3761"/>
    <n v="9123"/>
  </r>
  <r>
    <x v="1"/>
    <x v="1"/>
    <x v="1"/>
    <x v="1"/>
    <s v="None"/>
    <n v="2688"/>
    <n v="335621"/>
    <n v="324575"/>
    <n v="11046"/>
  </r>
  <r>
    <x v="1"/>
    <x v="3"/>
    <x v="1"/>
    <x v="1"/>
    <s v="None"/>
    <n v="1348"/>
    <n v="8230"/>
    <n v="4968"/>
    <n v="3262"/>
  </r>
  <r>
    <x v="0"/>
    <x v="1"/>
    <x v="2"/>
    <x v="1"/>
    <s v="None"/>
    <n v="2035"/>
    <n v="35388"/>
    <n v="15708"/>
    <n v="19680"/>
  </r>
  <r>
    <x v="1"/>
    <x v="1"/>
    <x v="3"/>
    <x v="1"/>
    <s v="None"/>
    <n v="2609"/>
    <n v="385904"/>
    <n v="341282"/>
    <n v="44622"/>
  </r>
  <r>
    <x v="2"/>
    <x v="0"/>
    <x v="1"/>
    <x v="1"/>
    <s v="None"/>
    <n v="1244"/>
    <n v="238213"/>
    <n v="227508"/>
    <n v="10705"/>
  </r>
  <r>
    <x v="0"/>
    <x v="2"/>
    <x v="1"/>
    <x v="1"/>
    <s v="None"/>
    <n v="927"/>
    <n v="470024"/>
    <n v="436236"/>
    <n v="33788"/>
  </r>
  <r>
    <x v="2"/>
    <x v="1"/>
    <x v="4"/>
    <x v="1"/>
    <s v="High"/>
    <n v="1697"/>
    <n v="364710"/>
    <n v="346721"/>
    <n v="17989"/>
  </r>
  <r>
    <x v="1"/>
    <x v="3"/>
    <x v="4"/>
    <x v="1"/>
    <s v="High"/>
    <n v="1562"/>
    <n v="474693"/>
    <n v="448081"/>
    <n v="26612"/>
  </r>
  <r>
    <x v="3"/>
    <x v="0"/>
    <x v="5"/>
    <x v="1"/>
    <s v="High"/>
    <n v="924"/>
    <n v="445691"/>
    <n v="396466"/>
    <n v="49225"/>
  </r>
  <r>
    <x v="4"/>
    <x v="3"/>
    <x v="6"/>
    <x v="1"/>
    <s v="High"/>
    <n v="325"/>
    <n v="272689"/>
    <n v="257986"/>
    <n v="14703"/>
  </r>
  <r>
    <x v="0"/>
    <x v="1"/>
    <x v="7"/>
    <x v="1"/>
    <s v="Medium"/>
    <n v="2520"/>
    <n v="186514"/>
    <n v="172481"/>
    <n v="14033"/>
  </r>
  <r>
    <x v="3"/>
    <x v="0"/>
    <x v="8"/>
    <x v="1"/>
    <s v="High"/>
    <n v="2521"/>
    <n v="141009"/>
    <n v="129977"/>
    <n v="11032"/>
  </r>
  <r>
    <x v="1"/>
    <x v="4"/>
    <x v="2"/>
    <x v="1"/>
    <s v="High"/>
    <n v="2801"/>
    <n v="571983"/>
    <n v="545833"/>
    <n v="26150"/>
  </r>
  <r>
    <x v="0"/>
    <x v="0"/>
    <x v="9"/>
    <x v="1"/>
    <s v="High"/>
    <n v="1196"/>
    <n v="454247"/>
    <n v="427025"/>
    <n v="27222"/>
  </r>
  <r>
    <x v="1"/>
    <x v="3"/>
    <x v="9"/>
    <x v="1"/>
    <s v="High"/>
    <n v="1639"/>
    <n v="239049"/>
    <n v="207784"/>
    <n v="31265"/>
  </r>
  <r>
    <x v="2"/>
    <x v="0"/>
    <x v="1"/>
    <x v="1"/>
    <s v="Low"/>
    <n v="796"/>
    <n v="208430"/>
    <n v="169378"/>
    <n v="39052"/>
  </r>
  <r>
    <x v="0"/>
    <x v="1"/>
    <x v="1"/>
    <x v="1"/>
    <s v="Low"/>
    <n v="2288"/>
    <n v="199069"/>
    <n v="180772"/>
    <n v="18297"/>
  </r>
  <r>
    <x v="2"/>
    <x v="1"/>
    <x v="5"/>
    <x v="1"/>
    <s v="High"/>
    <n v="2470"/>
    <n v="18780"/>
    <n v="8529"/>
    <n v="10251"/>
  </r>
  <r>
    <x v="0"/>
    <x v="3"/>
    <x v="10"/>
    <x v="1"/>
    <s v="Low"/>
    <n v="594"/>
    <n v="340608"/>
    <n v="326590"/>
    <n v="14018"/>
  </r>
  <r>
    <x v="1"/>
    <x v="2"/>
    <x v="7"/>
    <x v="1"/>
    <s v="Low"/>
    <n v="1006"/>
    <n v="256117"/>
    <n v="224192"/>
    <n v="31925"/>
  </r>
  <r>
    <x v="4"/>
    <x v="3"/>
    <x v="7"/>
    <x v="1"/>
    <s v="None"/>
    <n v="1665"/>
    <n v="296065"/>
    <n v="248102"/>
    <n v="47963"/>
  </r>
  <r>
    <x v="1"/>
    <x v="3"/>
    <x v="7"/>
    <x v="1"/>
    <s v="None"/>
    <n v="1067"/>
    <n v="65919"/>
    <n v="51558"/>
    <n v="14361"/>
  </r>
  <r>
    <x v="0"/>
    <x v="4"/>
    <x v="8"/>
    <x v="1"/>
    <s v="None"/>
    <n v="961"/>
    <n v="420234"/>
    <n v="385341"/>
    <n v="34893"/>
  </r>
  <r>
    <x v="0"/>
    <x v="0"/>
    <x v="11"/>
    <x v="1"/>
    <s v="None"/>
    <n v="1794"/>
    <n v="365244"/>
    <n v="339375"/>
    <n v="25869"/>
  </r>
  <r>
    <x v="2"/>
    <x v="4"/>
    <x v="11"/>
    <x v="1"/>
    <s v="None"/>
    <n v="750"/>
    <n v="100514"/>
    <n v="84518"/>
    <n v="15996"/>
  </r>
  <r>
    <x v="1"/>
    <x v="0"/>
    <x v="2"/>
    <x v="1"/>
    <s v="Medium"/>
    <n v="2308"/>
    <n v="261601"/>
    <n v="249313"/>
    <n v="12288"/>
  </r>
  <r>
    <x v="0"/>
    <x v="0"/>
    <x v="2"/>
    <x v="1"/>
    <s v="Medium"/>
    <n v="2411"/>
    <n v="543901"/>
    <n v="509187"/>
    <n v="34714"/>
  </r>
  <r>
    <x v="0"/>
    <x v="1"/>
    <x v="2"/>
    <x v="1"/>
    <s v="Medium"/>
    <n v="1254"/>
    <n v="132821"/>
    <n v="90636"/>
    <n v="42185"/>
  </r>
  <r>
    <x v="0"/>
    <x v="3"/>
    <x v="0"/>
    <x v="1"/>
    <s v="High"/>
    <n v="1281"/>
    <n v="586235"/>
    <n v="560856"/>
    <n v="25379"/>
  </r>
  <r>
    <x v="3"/>
    <x v="2"/>
    <x v="9"/>
    <x v="1"/>
    <s v="High"/>
    <n v="2336"/>
    <n v="587418"/>
    <n v="567509"/>
    <n v="19909"/>
  </r>
  <r>
    <x v="2"/>
    <x v="1"/>
    <x v="3"/>
    <x v="1"/>
    <s v="High"/>
    <n v="2296"/>
    <n v="584485"/>
    <n v="554971"/>
    <n v="29514"/>
  </r>
  <r>
    <x v="0"/>
    <x v="1"/>
    <x v="1"/>
    <x v="1"/>
    <s v="High"/>
    <n v="1825"/>
    <n v="273478"/>
    <n v="262918"/>
    <n v="10560"/>
  </r>
  <r>
    <x v="2"/>
    <x v="1"/>
    <x v="1"/>
    <x v="1"/>
    <s v="Medium"/>
    <n v="2593"/>
    <n v="437121"/>
    <n v="390859"/>
    <n v="46262"/>
  </r>
  <r>
    <x v="3"/>
    <x v="4"/>
    <x v="10"/>
    <x v="1"/>
    <s v="Medium"/>
    <n v="1650"/>
    <n v="405432"/>
    <n v="362730"/>
    <n v="42702"/>
  </r>
  <r>
    <x v="3"/>
    <x v="0"/>
    <x v="8"/>
    <x v="1"/>
    <s v="Medium"/>
    <n v="405"/>
    <n v="320885"/>
    <n v="277606"/>
    <n v="43279"/>
  </r>
  <r>
    <x v="4"/>
    <x v="0"/>
    <x v="9"/>
    <x v="1"/>
    <s v="Medium"/>
    <n v="2534"/>
    <n v="204898"/>
    <n v="191128"/>
    <n v="13770"/>
  </r>
  <r>
    <x v="0"/>
    <x v="0"/>
    <x v="0"/>
    <x v="2"/>
    <s v="None"/>
    <n v="2163"/>
    <n v="690647"/>
    <n v="376752"/>
    <n v="313895"/>
  </r>
  <r>
    <x v="0"/>
    <x v="1"/>
    <x v="0"/>
    <x v="2"/>
    <s v="None"/>
    <n v="1837"/>
    <n v="784202"/>
    <n v="388966"/>
    <n v="395236"/>
  </r>
  <r>
    <x v="1"/>
    <x v="2"/>
    <x v="1"/>
    <x v="2"/>
    <s v="None"/>
    <n v="1766"/>
    <n v="935148"/>
    <n v="336115"/>
    <n v="599033"/>
  </r>
  <r>
    <x v="1"/>
    <x v="1"/>
    <x v="1"/>
    <x v="2"/>
    <s v="None"/>
    <n v="2499"/>
    <n v="667519"/>
    <n v="406983"/>
    <n v="260536"/>
  </r>
  <r>
    <x v="1"/>
    <x v="3"/>
    <x v="1"/>
    <x v="2"/>
    <s v="None"/>
    <n v="550"/>
    <n v="831101"/>
    <n v="334859"/>
    <n v="496242"/>
  </r>
  <r>
    <x v="0"/>
    <x v="1"/>
    <x v="2"/>
    <x v="2"/>
    <s v="None"/>
    <n v="2548"/>
    <n v="844424"/>
    <n v="267781"/>
    <n v="576643"/>
  </r>
  <r>
    <x v="1"/>
    <x v="1"/>
    <x v="3"/>
    <x v="2"/>
    <s v="None"/>
    <n v="2664"/>
    <n v="694545"/>
    <n v="333114"/>
    <n v="361431"/>
  </r>
  <r>
    <x v="2"/>
    <x v="0"/>
    <x v="1"/>
    <x v="2"/>
    <s v="None"/>
    <n v="2539"/>
    <n v="785663"/>
    <n v="411247"/>
    <n v="374416"/>
  </r>
  <r>
    <x v="0"/>
    <x v="2"/>
    <x v="1"/>
    <x v="2"/>
    <s v="None"/>
    <n v="2418"/>
    <n v="694181"/>
    <n v="356401"/>
    <n v="337780"/>
  </r>
  <r>
    <x v="2"/>
    <x v="1"/>
    <x v="4"/>
    <x v="2"/>
    <s v="High"/>
    <n v="299"/>
    <n v="899428"/>
    <n v="322480"/>
    <n v="576948"/>
  </r>
  <r>
    <x v="1"/>
    <x v="3"/>
    <x v="4"/>
    <x v="2"/>
    <s v="High"/>
    <n v="1316"/>
    <n v="835432"/>
    <n v="384102"/>
    <n v="451330"/>
  </r>
  <r>
    <x v="3"/>
    <x v="0"/>
    <x v="5"/>
    <x v="2"/>
    <s v="High"/>
    <n v="672"/>
    <n v="980856"/>
    <n v="351909"/>
    <n v="628947"/>
  </r>
  <r>
    <x v="4"/>
    <x v="3"/>
    <x v="6"/>
    <x v="2"/>
    <s v="High"/>
    <n v="907"/>
    <n v="970951"/>
    <n v="372432"/>
    <n v="598519"/>
  </r>
  <r>
    <x v="0"/>
    <x v="1"/>
    <x v="7"/>
    <x v="2"/>
    <s v="Medium"/>
    <n v="2497"/>
    <n v="691104"/>
    <n v="299304"/>
    <n v="391800"/>
  </r>
  <r>
    <x v="3"/>
    <x v="0"/>
    <x v="8"/>
    <x v="2"/>
    <s v="High"/>
    <n v="704"/>
    <n v="741815"/>
    <n v="269500"/>
    <n v="472315"/>
  </r>
  <r>
    <x v="1"/>
    <x v="4"/>
    <x v="2"/>
    <x v="2"/>
    <s v="High"/>
    <n v="543"/>
    <n v="882220"/>
    <n v="313684"/>
    <n v="568536"/>
  </r>
  <r>
    <x v="0"/>
    <x v="0"/>
    <x v="9"/>
    <x v="2"/>
    <s v="High"/>
    <n v="834"/>
    <n v="758896"/>
    <n v="349903"/>
    <n v="408993"/>
  </r>
  <r>
    <x v="1"/>
    <x v="3"/>
    <x v="9"/>
    <x v="2"/>
    <s v="High"/>
    <n v="1270"/>
    <n v="856636"/>
    <n v="350710"/>
    <n v="505926"/>
  </r>
  <r>
    <x v="2"/>
    <x v="0"/>
    <x v="1"/>
    <x v="2"/>
    <s v="Low"/>
    <n v="1109"/>
    <n v="881527"/>
    <n v="298588"/>
    <n v="582939"/>
  </r>
  <r>
    <x v="0"/>
    <x v="1"/>
    <x v="1"/>
    <x v="2"/>
    <s v="Low"/>
    <n v="1558"/>
    <n v="680175"/>
    <n v="435745"/>
    <n v="244430"/>
  </r>
  <r>
    <x v="2"/>
    <x v="1"/>
    <x v="5"/>
    <x v="2"/>
    <s v="High"/>
    <n v="1969"/>
    <n v="850492"/>
    <n v="407464"/>
    <n v="443028"/>
  </r>
  <r>
    <x v="0"/>
    <x v="3"/>
    <x v="10"/>
    <x v="2"/>
    <s v="Low"/>
    <n v="796"/>
    <n v="796130"/>
    <n v="273297"/>
    <n v="522833"/>
  </r>
  <r>
    <x v="1"/>
    <x v="2"/>
    <x v="7"/>
    <x v="2"/>
    <s v="Low"/>
    <n v="2564"/>
    <n v="859523"/>
    <n v="370173"/>
    <n v="489350"/>
  </r>
  <r>
    <x v="4"/>
    <x v="3"/>
    <x v="7"/>
    <x v="2"/>
    <s v="None"/>
    <n v="1212"/>
    <n v="739573"/>
    <n v="350407"/>
    <n v="389166"/>
  </r>
  <r>
    <x v="1"/>
    <x v="3"/>
    <x v="7"/>
    <x v="2"/>
    <s v="None"/>
    <n v="2688"/>
    <n v="828405"/>
    <n v="386738"/>
    <n v="441667"/>
  </r>
  <r>
    <x v="0"/>
    <x v="4"/>
    <x v="8"/>
    <x v="2"/>
    <s v="None"/>
    <n v="1022"/>
    <n v="836648"/>
    <n v="311932"/>
    <n v="524716"/>
  </r>
  <r>
    <x v="0"/>
    <x v="0"/>
    <x v="11"/>
    <x v="2"/>
    <s v="None"/>
    <n v="1221"/>
    <n v="702002"/>
    <n v="341378"/>
    <n v="360624"/>
  </r>
  <r>
    <x v="2"/>
    <x v="4"/>
    <x v="11"/>
    <x v="2"/>
    <s v="None"/>
    <n v="2103"/>
    <n v="686049"/>
    <n v="319534"/>
    <n v="366515"/>
  </r>
  <r>
    <x v="1"/>
    <x v="0"/>
    <x v="2"/>
    <x v="2"/>
    <s v="Medium"/>
    <n v="2443"/>
    <n v="936978"/>
    <n v="340955"/>
    <n v="596023"/>
  </r>
  <r>
    <x v="0"/>
    <x v="0"/>
    <x v="2"/>
    <x v="2"/>
    <s v="Medium"/>
    <n v="1946"/>
    <n v="942104"/>
    <n v="311302"/>
    <n v="630802"/>
  </r>
  <r>
    <x v="0"/>
    <x v="1"/>
    <x v="2"/>
    <x v="2"/>
    <s v="Medium"/>
    <n v="645"/>
    <n v="920128"/>
    <n v="284116"/>
    <n v="636012"/>
  </r>
  <r>
    <x v="0"/>
    <x v="3"/>
    <x v="0"/>
    <x v="2"/>
    <s v="High"/>
    <n v="1603"/>
    <n v="831004"/>
    <n v="401364"/>
    <n v="429640"/>
  </r>
  <r>
    <x v="3"/>
    <x v="2"/>
    <x v="9"/>
    <x v="2"/>
    <s v="High"/>
    <n v="702"/>
    <n v="959185"/>
    <n v="281517"/>
    <n v="677668"/>
  </r>
  <r>
    <x v="2"/>
    <x v="1"/>
    <x v="3"/>
    <x v="2"/>
    <s v="High"/>
    <n v="1371"/>
    <n v="972551"/>
    <n v="418606"/>
    <n v="553945"/>
  </r>
  <r>
    <x v="0"/>
    <x v="1"/>
    <x v="1"/>
    <x v="2"/>
    <s v="High"/>
    <n v="1720"/>
    <n v="865925"/>
    <n v="271329"/>
    <n v="594596"/>
  </r>
  <r>
    <x v="2"/>
    <x v="1"/>
    <x v="1"/>
    <x v="2"/>
    <s v="Medium"/>
    <n v="2053"/>
    <n v="732742"/>
    <n v="293675"/>
    <n v="439067"/>
  </r>
  <r>
    <x v="3"/>
    <x v="4"/>
    <x v="10"/>
    <x v="2"/>
    <s v="Medium"/>
    <n v="2553"/>
    <n v="942717"/>
    <n v="355849"/>
    <n v="586868"/>
  </r>
  <r>
    <x v="3"/>
    <x v="0"/>
    <x v="8"/>
    <x v="2"/>
    <s v="Medium"/>
    <n v="1050"/>
    <n v="988598"/>
    <n v="393388"/>
    <n v="595210"/>
  </r>
  <r>
    <x v="4"/>
    <x v="0"/>
    <x v="9"/>
    <x v="2"/>
    <s v="Medium"/>
    <n v="916"/>
    <n v="746494"/>
    <n v="256728"/>
    <n v="489766"/>
  </r>
  <r>
    <x v="0"/>
    <x v="0"/>
    <x v="0"/>
    <x v="3"/>
    <s v="None"/>
    <n v="1619"/>
    <n v="32370"/>
    <n v="16185"/>
    <n v="16185"/>
  </r>
  <r>
    <x v="0"/>
    <x v="1"/>
    <x v="0"/>
    <x v="3"/>
    <s v="None"/>
    <n v="1321"/>
    <n v="26420"/>
    <n v="13210"/>
    <n v="13210"/>
  </r>
  <r>
    <x v="1"/>
    <x v="2"/>
    <x v="0"/>
    <x v="3"/>
    <s v="None"/>
    <n v="2178"/>
    <n v="32670"/>
    <n v="21780"/>
    <n v="10890"/>
  </r>
  <r>
    <x v="1"/>
    <x v="1"/>
    <x v="0"/>
    <x v="3"/>
    <s v="None"/>
    <n v="888"/>
    <n v="13320"/>
    <n v="8880"/>
    <n v="4440"/>
  </r>
  <r>
    <x v="1"/>
    <x v="3"/>
    <x v="0"/>
    <x v="3"/>
    <s v="None"/>
    <n v="2470"/>
    <n v="37050"/>
    <n v="24700"/>
    <n v="12350"/>
  </r>
  <r>
    <x v="0"/>
    <x v="1"/>
    <x v="9"/>
    <x v="3"/>
    <s v="None"/>
    <n v="1513"/>
    <n v="529550"/>
    <n v="393380"/>
    <n v="136170"/>
  </r>
  <r>
    <x v="1"/>
    <x v="1"/>
    <x v="9"/>
    <x v="3"/>
    <s v="None"/>
    <n v="921"/>
    <n v="13815"/>
    <n v="9210"/>
    <n v="4605"/>
  </r>
  <r>
    <x v="2"/>
    <x v="0"/>
    <x v="9"/>
    <x v="3"/>
    <s v="None"/>
    <n v="2518"/>
    <n v="30216"/>
    <n v="7554"/>
    <n v="22662"/>
  </r>
  <r>
    <x v="0"/>
    <x v="2"/>
    <x v="9"/>
    <x v="3"/>
    <s v="None"/>
    <n v="1899"/>
    <n v="37980"/>
    <n v="18990"/>
    <n v="18990"/>
  </r>
  <r>
    <x v="2"/>
    <x v="1"/>
    <x v="9"/>
    <x v="3"/>
    <s v="High"/>
    <n v="1545"/>
    <n v="18540"/>
    <n v="4635"/>
    <n v="13905"/>
  </r>
  <r>
    <x v="1"/>
    <x v="3"/>
    <x v="9"/>
    <x v="3"/>
    <s v="High"/>
    <n v="2470"/>
    <n v="37050"/>
    <n v="24700"/>
    <n v="123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41281E-6C70-4874-93FE-EF16BF05920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6:I31" firstHeaderRow="1" firstDataRow="2" firstDataCol="1"/>
  <pivotFields count="9">
    <pivotField axis="axisCol" showAll="0">
      <items count="6">
        <item h="1" x="2"/>
        <item x="3"/>
        <item x="0"/>
        <item x="1"/>
        <item x="4"/>
        <item t="default"/>
      </items>
    </pivotField>
    <pivotField showAll="0"/>
    <pivotField showAll="0">
      <items count="13">
        <item x="0"/>
        <item x="9"/>
        <item x="3"/>
        <item x="4"/>
        <item x="6"/>
        <item x="1"/>
        <item x="5"/>
        <item x="10"/>
        <item x="7"/>
        <item x="8"/>
        <item x="11"/>
        <item x="2"/>
        <item t="default"/>
      </items>
    </pivotField>
    <pivotField axis="axisRow" showAll="0">
      <items count="5">
        <item x="0"/>
        <item h="1" x="1"/>
        <item x="2"/>
        <item x="3"/>
        <item t="default"/>
      </items>
    </pivotField>
    <pivotField showAll="0"/>
    <pivotField numFmtId="1" showAll="0"/>
    <pivotField dataField="1" numFmtId="164" showAll="0"/>
    <pivotField numFmtId="164" showAll="0"/>
    <pivotField numFmtId="164" showAll="0"/>
  </pivotFields>
  <rowFields count="1">
    <field x="3"/>
  </rowFields>
  <rowItems count="4">
    <i>
      <x/>
    </i>
    <i>
      <x v="2"/>
    </i>
    <i>
      <x v="3"/>
    </i>
    <i t="grand">
      <x/>
    </i>
  </rowItems>
  <colFields count="1">
    <field x="0"/>
  </colFields>
  <colItems count="5">
    <i>
      <x v="1"/>
    </i>
    <i>
      <x v="2"/>
    </i>
    <i>
      <x v="3"/>
    </i>
    <i>
      <x v="4"/>
    </i>
    <i t="grand">
      <x/>
    </i>
  </colItems>
  <dataFields count="1">
    <dataField name="Sum of  Sales" fld="6" showDataAs="percentDiff" baseField="3" baseItem="1048828" numFmtId="10"/>
  </dataFields>
  <chartFormats count="5">
    <chartFormat chart="6" format="10" series="1">
      <pivotArea type="data" outline="0" fieldPosition="0">
        <references count="2">
          <reference field="4294967294" count="1" selected="0">
            <x v="0"/>
          </reference>
          <reference field="0" count="1" selected="0">
            <x v="0"/>
          </reference>
        </references>
      </pivotArea>
    </chartFormat>
    <chartFormat chart="6" format="11" series="1">
      <pivotArea type="data" outline="0" fieldPosition="0">
        <references count="2">
          <reference field="4294967294" count="1" selected="0">
            <x v="0"/>
          </reference>
          <reference field="0" count="1" selected="0">
            <x v="1"/>
          </reference>
        </references>
      </pivotArea>
    </chartFormat>
    <chartFormat chart="6" format="12" series="1">
      <pivotArea type="data" outline="0" fieldPosition="0">
        <references count="2">
          <reference field="4294967294" count="1" selected="0">
            <x v="0"/>
          </reference>
          <reference field="0" count="1" selected="0">
            <x v="2"/>
          </reference>
        </references>
      </pivotArea>
    </chartFormat>
    <chartFormat chart="6" format="13" series="1">
      <pivotArea type="data" outline="0" fieldPosition="0">
        <references count="2">
          <reference field="4294967294" count="1" selected="0">
            <x v="0"/>
          </reference>
          <reference field="0" count="1" selected="0">
            <x v="3"/>
          </reference>
        </references>
      </pivotArea>
    </chartFormat>
    <chartFormat chart="6"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079691-0917-4C3A-86F3-692D824660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D18:I23" firstHeaderRow="1" firstDataRow="2" firstDataCol="1"/>
  <pivotFields count="9">
    <pivotField axis="axisCol" showAll="0">
      <items count="6">
        <item h="1" x="2"/>
        <item x="3"/>
        <item x="0"/>
        <item x="1"/>
        <item x="4"/>
        <item t="default"/>
      </items>
    </pivotField>
    <pivotField showAll="0"/>
    <pivotField showAll="0">
      <items count="13">
        <item x="0"/>
        <item x="9"/>
        <item x="3"/>
        <item x="4"/>
        <item x="6"/>
        <item x="1"/>
        <item x="5"/>
        <item x="10"/>
        <item x="7"/>
        <item x="8"/>
        <item x="11"/>
        <item x="2"/>
        <item t="default"/>
      </items>
    </pivotField>
    <pivotField axis="axisRow" showAll="0" sortType="ascending">
      <items count="5">
        <item x="0"/>
        <item h="1" x="1"/>
        <item x="2"/>
        <item x="3"/>
        <item t="default"/>
      </items>
    </pivotField>
    <pivotField showAll="0"/>
    <pivotField numFmtId="1" showAll="0"/>
    <pivotField numFmtId="164" showAll="0"/>
    <pivotField numFmtId="164" showAll="0"/>
    <pivotField dataField="1" numFmtId="164" showAll="0"/>
  </pivotFields>
  <rowFields count="1">
    <field x="3"/>
  </rowFields>
  <rowItems count="4">
    <i>
      <x/>
    </i>
    <i>
      <x v="2"/>
    </i>
    <i>
      <x v="3"/>
    </i>
    <i t="grand">
      <x/>
    </i>
  </rowItems>
  <colFields count="1">
    <field x="0"/>
  </colFields>
  <colItems count="5">
    <i>
      <x v="1"/>
    </i>
    <i>
      <x v="2"/>
    </i>
    <i>
      <x v="3"/>
    </i>
    <i>
      <x v="4"/>
    </i>
    <i t="grand">
      <x/>
    </i>
  </colItems>
  <dataFields count="1">
    <dataField name="Sum of Profit" fld="8" showDataAs="percentDiff" baseField="3" baseItem="1048828" numFmtId="10"/>
  </dataFields>
  <formats count="2">
    <format dxfId="64">
      <pivotArea outline="0" collapsedLevelsAreSubtotals="1" fieldPosition="0"/>
    </format>
    <format dxfId="63">
      <pivotArea outline="0" fieldPosition="0">
        <references count="1">
          <reference field="4294967294" count="1">
            <x v="0"/>
          </reference>
        </references>
      </pivotArea>
    </format>
  </formats>
  <chartFormats count="6">
    <chartFormat chart="36" format="17" series="1">
      <pivotArea type="data" outline="0" fieldPosition="0">
        <references count="1">
          <reference field="4294967294" count="1" selected="0">
            <x v="0"/>
          </reference>
        </references>
      </pivotArea>
    </chartFormat>
    <chartFormat chart="36" format="19" series="1">
      <pivotArea type="data" outline="0" fieldPosition="0">
        <references count="2">
          <reference field="4294967294" count="1" selected="0">
            <x v="0"/>
          </reference>
          <reference field="0" count="1" selected="0">
            <x v="2"/>
          </reference>
        </references>
      </pivotArea>
    </chartFormat>
    <chartFormat chart="36" format="20" series="1">
      <pivotArea type="data" outline="0" fieldPosition="0">
        <references count="2">
          <reference field="4294967294" count="1" selected="0">
            <x v="0"/>
          </reference>
          <reference field="0" count="1" selected="0">
            <x v="3"/>
          </reference>
        </references>
      </pivotArea>
    </chartFormat>
    <chartFormat chart="36" format="21" series="1">
      <pivotArea type="data" outline="0" fieldPosition="0">
        <references count="2">
          <reference field="4294967294" count="1" selected="0">
            <x v="0"/>
          </reference>
          <reference field="0" count="1" selected="0">
            <x v="4"/>
          </reference>
        </references>
      </pivotArea>
    </chartFormat>
    <chartFormat chart="36" format="27" series="1">
      <pivotArea type="data" outline="0" fieldPosition="0">
        <references count="2">
          <reference field="4294967294" count="1" selected="0">
            <x v="0"/>
          </reference>
          <reference field="0" count="1" selected="0">
            <x v="1"/>
          </reference>
        </references>
      </pivotArea>
    </chartFormat>
    <chartFormat chart="36" format="28"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9D6483-9735-4F4A-B1B4-166998FABFB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D10:I15" firstHeaderRow="1" firstDataRow="2" firstDataCol="1"/>
  <pivotFields count="9">
    <pivotField axis="axisCol" showAll="0">
      <items count="6">
        <item h="1" x="2"/>
        <item x="3"/>
        <item x="0"/>
        <item x="1"/>
        <item x="4"/>
        <item t="default"/>
      </items>
    </pivotField>
    <pivotField showAll="0"/>
    <pivotField showAll="0">
      <items count="13">
        <item x="0"/>
        <item x="9"/>
        <item x="3"/>
        <item x="4"/>
        <item x="6"/>
        <item x="1"/>
        <item x="5"/>
        <item x="10"/>
        <item x="7"/>
        <item x="8"/>
        <item x="11"/>
        <item x="2"/>
        <item t="default"/>
      </items>
    </pivotField>
    <pivotField axis="axisRow" showAll="0" sortType="ascending">
      <items count="5">
        <item x="0"/>
        <item h="1" x="1"/>
        <item x="2"/>
        <item x="3"/>
        <item t="default"/>
      </items>
    </pivotField>
    <pivotField showAll="0"/>
    <pivotField numFmtId="1" showAll="0"/>
    <pivotField numFmtId="164" showAll="0"/>
    <pivotField numFmtId="164" showAll="0"/>
    <pivotField dataField="1" numFmtId="164" showAll="0"/>
  </pivotFields>
  <rowFields count="1">
    <field x="3"/>
  </rowFields>
  <rowItems count="4">
    <i>
      <x/>
    </i>
    <i>
      <x v="2"/>
    </i>
    <i>
      <x v="3"/>
    </i>
    <i t="grand">
      <x/>
    </i>
  </rowItems>
  <colFields count="1">
    <field x="0"/>
  </colFields>
  <colItems count="5">
    <i>
      <x v="1"/>
    </i>
    <i>
      <x v="2"/>
    </i>
    <i>
      <x v="3"/>
    </i>
    <i>
      <x v="4"/>
    </i>
    <i t="grand">
      <x/>
    </i>
  </colItems>
  <dataFields count="1">
    <dataField name="Sum of Profit" fld="8" baseField="0" baseItem="0" numFmtId="164"/>
  </dataFields>
  <formats count="2">
    <format dxfId="66">
      <pivotArea outline="0" collapsedLevelsAreSubtotals="1" fieldPosition="0"/>
    </format>
    <format dxfId="65">
      <pivotArea dataOnly="0" labelOnly="1" fieldPosition="0">
        <references count="1">
          <reference field="3" count="0"/>
        </references>
      </pivotArea>
    </format>
  </formats>
  <chartFormats count="6">
    <chartFormat chart="26" format="10" series="1">
      <pivotArea type="data" outline="0" fieldPosition="0">
        <references count="2">
          <reference field="4294967294" count="1" selected="0">
            <x v="0"/>
          </reference>
          <reference field="0" count="1" selected="0">
            <x v="0"/>
          </reference>
        </references>
      </pivotArea>
    </chartFormat>
    <chartFormat chart="26" format="11" series="1">
      <pivotArea type="data" outline="0" fieldPosition="0">
        <references count="2">
          <reference field="4294967294" count="1" selected="0">
            <x v="0"/>
          </reference>
          <reference field="0" count="1" selected="0">
            <x v="1"/>
          </reference>
        </references>
      </pivotArea>
    </chartFormat>
    <chartFormat chart="26" format="12" series="1">
      <pivotArea type="data" outline="0" fieldPosition="0">
        <references count="2">
          <reference field="4294967294" count="1" selected="0">
            <x v="0"/>
          </reference>
          <reference field="0" count="1" selected="0">
            <x v="2"/>
          </reference>
        </references>
      </pivotArea>
    </chartFormat>
    <chartFormat chart="26" format="13" series="1">
      <pivotArea type="data" outline="0" fieldPosition="0">
        <references count="2">
          <reference field="4294967294" count="1" selected="0">
            <x v="0"/>
          </reference>
          <reference field="0" count="1" selected="0">
            <x v="3"/>
          </reference>
        </references>
      </pivotArea>
    </chartFormat>
    <chartFormat chart="26" format="14" series="1">
      <pivotArea type="data" outline="0" fieldPosition="0">
        <references count="2">
          <reference field="4294967294" count="1" selected="0">
            <x v="0"/>
          </reference>
          <reference field="0" count="1" selected="0">
            <x v="4"/>
          </reference>
        </references>
      </pivotArea>
    </chartFormat>
    <chartFormat chart="26"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CD2B27-B8C4-4B83-80B3-F3B2A7672EE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L2:Q7" firstHeaderRow="1" firstDataRow="2" firstDataCol="1"/>
  <pivotFields count="9">
    <pivotField axis="axisCol" showAll="0">
      <items count="6">
        <item h="1" x="2"/>
        <item x="3"/>
        <item x="0"/>
        <item x="1"/>
        <item x="4"/>
        <item t="default"/>
      </items>
    </pivotField>
    <pivotField showAll="0"/>
    <pivotField showAll="0">
      <items count="13">
        <item x="0"/>
        <item x="9"/>
        <item x="3"/>
        <item x="4"/>
        <item x="6"/>
        <item x="1"/>
        <item x="5"/>
        <item x="10"/>
        <item x="7"/>
        <item x="8"/>
        <item x="11"/>
        <item x="2"/>
        <item t="default"/>
      </items>
    </pivotField>
    <pivotField axis="axisRow" showAll="0">
      <items count="5">
        <item x="0"/>
        <item x="2"/>
        <item x="3"/>
        <item h="1" x="1"/>
        <item t="default"/>
      </items>
    </pivotField>
    <pivotField showAll="0"/>
    <pivotField numFmtId="1" showAll="0"/>
    <pivotField numFmtId="164" showAll="0"/>
    <pivotField numFmtId="164" showAll="0"/>
    <pivotField dataField="1" numFmtId="164" showAll="0"/>
  </pivotFields>
  <rowFields count="1">
    <field x="3"/>
  </rowFields>
  <rowItems count="4">
    <i>
      <x/>
    </i>
    <i>
      <x v="1"/>
    </i>
    <i>
      <x v="2"/>
    </i>
    <i t="grand">
      <x/>
    </i>
  </rowItems>
  <colFields count="1">
    <field x="0"/>
  </colFields>
  <colItems count="5">
    <i>
      <x v="1"/>
    </i>
    <i>
      <x v="2"/>
    </i>
    <i>
      <x v="3"/>
    </i>
    <i>
      <x v="4"/>
    </i>
    <i t="grand">
      <x/>
    </i>
  </colItems>
  <dataFields count="1">
    <dataField name="Sum of Profit" fld="8" showDataAs="percentDiff" baseField="3" baseItem="1048828" numFmtId="10"/>
  </dataFields>
  <formats count="2">
    <format dxfId="68">
      <pivotArea outline="0" collapsedLevelsAreSubtotals="1" fieldPosition="0"/>
    </format>
    <format dxfId="67">
      <pivotArea outline="0" fieldPosition="0">
        <references count="1">
          <reference field="4294967294" count="1">
            <x v="0"/>
          </reference>
        </references>
      </pivotArea>
    </format>
  </formats>
  <chartFormats count="14">
    <chartFormat chart="36" format="17" series="1">
      <pivotArea type="data" outline="0" fieldPosition="0">
        <references count="1">
          <reference field="4294967294" count="1" selected="0">
            <x v="0"/>
          </reference>
        </references>
      </pivotArea>
    </chartFormat>
    <chartFormat chart="36" format="19" series="1">
      <pivotArea type="data" outline="0" fieldPosition="0">
        <references count="2">
          <reference field="4294967294" count="1" selected="0">
            <x v="0"/>
          </reference>
          <reference field="0" count="1" selected="0">
            <x v="2"/>
          </reference>
        </references>
      </pivotArea>
    </chartFormat>
    <chartFormat chart="36" format="20" series="1">
      <pivotArea type="data" outline="0" fieldPosition="0">
        <references count="2">
          <reference field="4294967294" count="1" selected="0">
            <x v="0"/>
          </reference>
          <reference field="0" count="1" selected="0">
            <x v="3"/>
          </reference>
        </references>
      </pivotArea>
    </chartFormat>
    <chartFormat chart="36" format="21" series="1">
      <pivotArea type="data" outline="0" fieldPosition="0">
        <references count="2">
          <reference field="4294967294" count="1" selected="0">
            <x v="0"/>
          </reference>
          <reference field="0" count="1" selected="0">
            <x v="4"/>
          </reference>
        </references>
      </pivotArea>
    </chartFormat>
    <chartFormat chart="39" format="0" series="1">
      <pivotArea type="data" outline="0" fieldPosition="0">
        <references count="2">
          <reference field="4294967294" count="1" selected="0">
            <x v="0"/>
          </reference>
          <reference field="0" count="1" selected="0">
            <x v="0"/>
          </reference>
        </references>
      </pivotArea>
    </chartFormat>
    <chartFormat chart="39" format="1" series="1">
      <pivotArea type="data" outline="0" fieldPosition="0">
        <references count="2">
          <reference field="4294967294" count="1" selected="0">
            <x v="0"/>
          </reference>
          <reference field="0" count="1" selected="0">
            <x v="1"/>
          </reference>
        </references>
      </pivotArea>
    </chartFormat>
    <chartFormat chart="39" format="2" series="1">
      <pivotArea type="data" outline="0" fieldPosition="0">
        <references count="2">
          <reference field="4294967294" count="1" selected="0">
            <x v="0"/>
          </reference>
          <reference field="0" count="1" selected="0">
            <x v="2"/>
          </reference>
        </references>
      </pivotArea>
    </chartFormat>
    <chartFormat chart="39" format="3" series="1">
      <pivotArea type="data" outline="0" fieldPosition="0">
        <references count="2">
          <reference field="4294967294" count="1" selected="0">
            <x v="0"/>
          </reference>
          <reference field="0" count="1" selected="0">
            <x v="3"/>
          </reference>
        </references>
      </pivotArea>
    </chartFormat>
    <chartFormat chart="39" format="4" series="1">
      <pivotArea type="data" outline="0" fieldPosition="0">
        <references count="2">
          <reference field="4294967294" count="1" selected="0">
            <x v="0"/>
          </reference>
          <reference field="0" count="1" selected="0">
            <x v="4"/>
          </reference>
        </references>
      </pivotArea>
    </chartFormat>
    <chartFormat chart="45" format="10" series="1">
      <pivotArea type="data" outline="0" fieldPosition="0">
        <references count="2">
          <reference field="4294967294" count="1" selected="0">
            <x v="0"/>
          </reference>
          <reference field="0" count="1" selected="0">
            <x v="0"/>
          </reference>
        </references>
      </pivotArea>
    </chartFormat>
    <chartFormat chart="45" format="11" series="1">
      <pivotArea type="data" outline="0" fieldPosition="0">
        <references count="2">
          <reference field="4294967294" count="1" selected="0">
            <x v="0"/>
          </reference>
          <reference field="0" count="1" selected="0">
            <x v="1"/>
          </reference>
        </references>
      </pivotArea>
    </chartFormat>
    <chartFormat chart="45" format="12" series="1">
      <pivotArea type="data" outline="0" fieldPosition="0">
        <references count="2">
          <reference field="4294967294" count="1" selected="0">
            <x v="0"/>
          </reference>
          <reference field="0" count="1" selected="0">
            <x v="2"/>
          </reference>
        </references>
      </pivotArea>
    </chartFormat>
    <chartFormat chart="45" format="13" series="1">
      <pivotArea type="data" outline="0" fieldPosition="0">
        <references count="2">
          <reference field="4294967294" count="1" selected="0">
            <x v="0"/>
          </reference>
          <reference field="0" count="1" selected="0">
            <x v="3"/>
          </reference>
        </references>
      </pivotArea>
    </chartFormat>
    <chartFormat chart="45"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7A0416-088C-47C8-98B4-3588141AD03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L18:R23" firstHeaderRow="1" firstDataRow="2" firstDataCol="1"/>
  <pivotFields count="9">
    <pivotField showAll="0">
      <items count="6">
        <item h="1" x="2"/>
        <item x="3"/>
        <item x="0"/>
        <item x="1"/>
        <item x="4"/>
        <item t="default"/>
      </items>
    </pivotField>
    <pivotField axis="axisCol" showAll="0">
      <items count="6">
        <item x="0"/>
        <item x="2"/>
        <item x="1"/>
        <item x="3"/>
        <item x="4"/>
        <item t="default"/>
      </items>
    </pivotField>
    <pivotField showAll="0">
      <items count="13">
        <item x="0"/>
        <item x="9"/>
        <item x="3"/>
        <item x="4"/>
        <item x="6"/>
        <item x="1"/>
        <item x="5"/>
        <item x="10"/>
        <item x="7"/>
        <item x="8"/>
        <item x="11"/>
        <item x="2"/>
        <item t="default"/>
      </items>
    </pivotField>
    <pivotField axis="axisRow" showAll="0">
      <items count="5">
        <item x="0"/>
        <item h="1" x="1"/>
        <item x="2"/>
        <item x="3"/>
        <item t="default"/>
      </items>
    </pivotField>
    <pivotField showAll="0"/>
    <pivotField numFmtId="1" showAll="0"/>
    <pivotField dataField="1" numFmtId="164" showAll="0"/>
    <pivotField numFmtId="164" showAll="0"/>
    <pivotField numFmtId="164" showAll="0"/>
  </pivotFields>
  <rowFields count="1">
    <field x="3"/>
  </rowFields>
  <rowItems count="4">
    <i>
      <x/>
    </i>
    <i>
      <x v="2"/>
    </i>
    <i>
      <x v="3"/>
    </i>
    <i t="grand">
      <x/>
    </i>
  </rowItems>
  <colFields count="1">
    <field x="1"/>
  </colFields>
  <colItems count="6">
    <i>
      <x/>
    </i>
    <i>
      <x v="1"/>
    </i>
    <i>
      <x v="2"/>
    </i>
    <i>
      <x v="3"/>
    </i>
    <i>
      <x v="4"/>
    </i>
    <i t="grand">
      <x/>
    </i>
  </colItems>
  <dataFields count="1">
    <dataField name="Sum of  Sales" fld="6" baseField="0" baseItem="0" numFmtId="165"/>
  </dataFields>
  <formats count="1">
    <format dxfId="69">
      <pivotArea type="all" dataOnly="0" outline="0" fieldPosition="0"/>
    </format>
  </formats>
  <chartFormats count="5">
    <chartFormat chart="19" format="10" series="1">
      <pivotArea type="data" outline="0" fieldPosition="0">
        <references count="2">
          <reference field="4294967294" count="1" selected="0">
            <x v="0"/>
          </reference>
          <reference field="1" count="1" selected="0">
            <x v="0"/>
          </reference>
        </references>
      </pivotArea>
    </chartFormat>
    <chartFormat chart="19" format="11" series="1">
      <pivotArea type="data" outline="0" fieldPosition="0">
        <references count="2">
          <reference field="4294967294" count="1" selected="0">
            <x v="0"/>
          </reference>
          <reference field="1" count="1" selected="0">
            <x v="1"/>
          </reference>
        </references>
      </pivotArea>
    </chartFormat>
    <chartFormat chart="19" format="12" series="1">
      <pivotArea type="data" outline="0" fieldPosition="0">
        <references count="2">
          <reference field="4294967294" count="1" selected="0">
            <x v="0"/>
          </reference>
          <reference field="1" count="1" selected="0">
            <x v="2"/>
          </reference>
        </references>
      </pivotArea>
    </chartFormat>
    <chartFormat chart="19" format="13" series="1">
      <pivotArea type="data" outline="0" fieldPosition="0">
        <references count="2">
          <reference field="4294967294" count="1" selected="0">
            <x v="0"/>
          </reference>
          <reference field="1" count="1" selected="0">
            <x v="3"/>
          </reference>
        </references>
      </pivotArea>
    </chartFormat>
    <chartFormat chart="19"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FB3452-CDF9-4482-9563-BD2C1EC58D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2:I7" firstHeaderRow="1" firstDataRow="2" firstDataCol="1"/>
  <pivotFields count="9">
    <pivotField axis="axisCol" showAll="0">
      <items count="6">
        <item h="1" x="2"/>
        <item x="3"/>
        <item x="0"/>
        <item x="1"/>
        <item x="4"/>
        <item t="default"/>
      </items>
    </pivotField>
    <pivotField showAll="0"/>
    <pivotField showAll="0">
      <items count="13">
        <item x="0"/>
        <item x="9"/>
        <item x="3"/>
        <item x="4"/>
        <item x="6"/>
        <item x="1"/>
        <item x="5"/>
        <item x="10"/>
        <item x="7"/>
        <item x="8"/>
        <item x="11"/>
        <item x="2"/>
        <item t="default"/>
      </items>
    </pivotField>
    <pivotField axis="axisRow" showAll="0" sortType="ascending">
      <items count="5">
        <item x="0"/>
        <item h="1" x="1"/>
        <item x="2"/>
        <item x="3"/>
        <item t="default"/>
      </items>
    </pivotField>
    <pivotField showAll="0"/>
    <pivotField numFmtId="1" showAll="0"/>
    <pivotField dataField="1" numFmtId="164" showAll="0"/>
    <pivotField numFmtId="164" showAll="0"/>
    <pivotField numFmtId="164" showAll="0"/>
  </pivotFields>
  <rowFields count="1">
    <field x="3"/>
  </rowFields>
  <rowItems count="4">
    <i>
      <x/>
    </i>
    <i>
      <x v="2"/>
    </i>
    <i>
      <x v="3"/>
    </i>
    <i t="grand">
      <x/>
    </i>
  </rowItems>
  <colFields count="1">
    <field x="0"/>
  </colFields>
  <colItems count="5">
    <i>
      <x v="1"/>
    </i>
    <i>
      <x v="2"/>
    </i>
    <i>
      <x v="3"/>
    </i>
    <i>
      <x v="4"/>
    </i>
    <i t="grand">
      <x/>
    </i>
  </colItems>
  <dataFields count="1">
    <dataField name="Sum of  Sales" fld="6" baseField="0" baseItem="0" numFmtId="165"/>
  </dataFields>
  <formats count="2">
    <format dxfId="71">
      <pivotArea outline="0" collapsedLevelsAreSubtotals="1" fieldPosition="0"/>
    </format>
    <format dxfId="70">
      <pivotArea dataOnly="0" labelOnly="1" fieldPosition="0">
        <references count="1">
          <reference field="3" count="0"/>
        </references>
      </pivotArea>
    </format>
  </formats>
  <chartFormats count="8">
    <chartFormat chart="9"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0" format="10" series="1">
      <pivotArea type="data" outline="0" fieldPosition="0">
        <references count="2">
          <reference field="4294967294" count="1" selected="0">
            <x v="0"/>
          </reference>
          <reference field="0" count="1" selected="0">
            <x v="0"/>
          </reference>
        </references>
      </pivotArea>
    </chartFormat>
    <chartFormat chart="20" format="11" series="1">
      <pivotArea type="data" outline="0" fieldPosition="0">
        <references count="2">
          <reference field="4294967294" count="1" selected="0">
            <x v="0"/>
          </reference>
          <reference field="0" count="1" selected="0">
            <x v="1"/>
          </reference>
        </references>
      </pivotArea>
    </chartFormat>
    <chartFormat chart="20" format="12" series="1">
      <pivotArea type="data" outline="0" fieldPosition="0">
        <references count="2">
          <reference field="4294967294" count="1" selected="0">
            <x v="0"/>
          </reference>
          <reference field="0" count="1" selected="0">
            <x v="2"/>
          </reference>
        </references>
      </pivotArea>
    </chartFormat>
    <chartFormat chart="20" format="13" series="1">
      <pivotArea type="data" outline="0" fieldPosition="0">
        <references count="2">
          <reference field="4294967294" count="1" selected="0">
            <x v="0"/>
          </reference>
          <reference field="0" count="1" selected="0">
            <x v="3"/>
          </reference>
        </references>
      </pivotArea>
    </chartFormat>
    <chartFormat chart="20" format="14" series="1">
      <pivotArea type="data" outline="0" fieldPosition="0">
        <references count="2">
          <reference field="4294967294" count="1" selected="0">
            <x v="0"/>
          </reference>
          <reference field="0" count="1" selected="0">
            <x v="4"/>
          </reference>
        </references>
      </pivotArea>
    </chartFormat>
    <chartFormat chart="2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5202D4-DFFA-4AC8-AA50-12CFE28D6F6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L10:Q15" firstHeaderRow="1" firstDataRow="2" firstDataCol="1"/>
  <pivotFields count="9">
    <pivotField axis="axisCol" showAll="0">
      <items count="6">
        <item h="1" x="2"/>
        <item x="3"/>
        <item x="0"/>
        <item x="1"/>
        <item x="4"/>
        <item t="default"/>
      </items>
    </pivotField>
    <pivotField showAll="0"/>
    <pivotField showAll="0">
      <items count="13">
        <item x="0"/>
        <item x="9"/>
        <item x="3"/>
        <item x="4"/>
        <item x="6"/>
        <item x="1"/>
        <item x="5"/>
        <item x="10"/>
        <item x="7"/>
        <item x="8"/>
        <item x="11"/>
        <item x="2"/>
        <item t="default"/>
      </items>
    </pivotField>
    <pivotField axis="axisRow" showAll="0">
      <items count="5">
        <item x="0"/>
        <item h="1" x="1"/>
        <item x="2"/>
        <item x="3"/>
        <item t="default"/>
      </items>
    </pivotField>
    <pivotField showAll="0"/>
    <pivotField dataField="1" numFmtId="1" showAll="0"/>
    <pivotField numFmtId="164" showAll="0"/>
    <pivotField numFmtId="164" showAll="0"/>
    <pivotField numFmtId="164" showAll="0"/>
  </pivotFields>
  <rowFields count="1">
    <field x="3"/>
  </rowFields>
  <rowItems count="4">
    <i>
      <x/>
    </i>
    <i>
      <x v="2"/>
    </i>
    <i>
      <x v="3"/>
    </i>
    <i t="grand">
      <x/>
    </i>
  </rowItems>
  <colFields count="1">
    <field x="0"/>
  </colFields>
  <colItems count="5">
    <i>
      <x v="1"/>
    </i>
    <i>
      <x v="2"/>
    </i>
    <i>
      <x v="3"/>
    </i>
    <i>
      <x v="4"/>
    </i>
    <i t="grand">
      <x/>
    </i>
  </colItems>
  <dataFields count="1">
    <dataField name="Sum of Units Sold" fld="5" baseField="0" baseItem="0" numFmtId="1"/>
  </dataFields>
  <chartFormats count="5">
    <chartFormat chart="12" format="10" series="1">
      <pivotArea type="data" outline="0" fieldPosition="0">
        <references count="2">
          <reference field="4294967294" count="1" selected="0">
            <x v="0"/>
          </reference>
          <reference field="0" count="1" selected="0">
            <x v="0"/>
          </reference>
        </references>
      </pivotArea>
    </chartFormat>
    <chartFormat chart="12" format="11" series="1">
      <pivotArea type="data" outline="0" fieldPosition="0">
        <references count="2">
          <reference field="4294967294" count="1" selected="0">
            <x v="0"/>
          </reference>
          <reference field="0" count="1" selected="0">
            <x v="1"/>
          </reference>
        </references>
      </pivotArea>
    </chartFormat>
    <chartFormat chart="12" format="12" series="1">
      <pivotArea type="data" outline="0" fieldPosition="0">
        <references count="2">
          <reference field="4294967294" count="1" selected="0">
            <x v="0"/>
          </reference>
          <reference field="0" count="1" selected="0">
            <x v="2"/>
          </reference>
        </references>
      </pivotArea>
    </chartFormat>
    <chartFormat chart="12" format="13" series="1">
      <pivotArea type="data" outline="0" fieldPosition="0">
        <references count="2">
          <reference field="4294967294" count="1" selected="0">
            <x v="0"/>
          </reference>
          <reference field="0" count="1" selected="0">
            <x v="3"/>
          </reference>
        </references>
      </pivotArea>
    </chartFormat>
    <chartFormat chart="12"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0A6485-B8CD-43CA-A51B-0FFA6665E6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B23" firstHeaderRow="1" firstDataRow="1" firstDataCol="1"/>
  <pivotFields count="9">
    <pivotField axis="axisRow" showAll="0">
      <items count="6">
        <item h="1" x="2"/>
        <item x="3"/>
        <item x="0"/>
        <item x="1"/>
        <item x="4"/>
        <item t="default"/>
      </items>
    </pivotField>
    <pivotField axis="axisRow" showAll="0">
      <items count="6">
        <item x="0"/>
        <item x="2"/>
        <item x="1"/>
        <item x="3"/>
        <item x="4"/>
        <item t="default"/>
      </items>
    </pivotField>
    <pivotField showAll="0">
      <items count="13">
        <item x="0"/>
        <item x="9"/>
        <item x="3"/>
        <item x="4"/>
        <item x="6"/>
        <item x="1"/>
        <item x="5"/>
        <item x="10"/>
        <item x="7"/>
        <item x="8"/>
        <item x="11"/>
        <item x="2"/>
        <item t="default"/>
      </items>
    </pivotField>
    <pivotField showAll="0">
      <items count="5">
        <item x="0"/>
        <item h="1" x="1"/>
        <item x="2"/>
        <item x="3"/>
        <item t="default"/>
      </items>
    </pivotField>
    <pivotField showAll="0"/>
    <pivotField numFmtId="1" showAll="0"/>
    <pivotField dataField="1" numFmtId="164" showAll="0"/>
    <pivotField numFmtId="164" showAll="0"/>
    <pivotField numFmtId="164" showAll="0"/>
  </pivotFields>
  <rowFields count="2">
    <field x="1"/>
    <field x="0"/>
  </rowFields>
  <rowItems count="21">
    <i>
      <x/>
    </i>
    <i r="1">
      <x v="1"/>
    </i>
    <i r="1">
      <x v="2"/>
    </i>
    <i r="1">
      <x v="3"/>
    </i>
    <i r="1">
      <x v="4"/>
    </i>
    <i>
      <x v="1"/>
    </i>
    <i r="1">
      <x v="1"/>
    </i>
    <i r="1">
      <x v="2"/>
    </i>
    <i r="1">
      <x v="3"/>
    </i>
    <i>
      <x v="2"/>
    </i>
    <i r="1">
      <x v="2"/>
    </i>
    <i r="1">
      <x v="3"/>
    </i>
    <i>
      <x v="3"/>
    </i>
    <i r="1">
      <x v="2"/>
    </i>
    <i r="1">
      <x v="3"/>
    </i>
    <i r="1">
      <x v="4"/>
    </i>
    <i>
      <x v="4"/>
    </i>
    <i r="1">
      <x v="1"/>
    </i>
    <i r="1">
      <x v="2"/>
    </i>
    <i r="1">
      <x v="3"/>
    </i>
    <i t="grand">
      <x/>
    </i>
  </rowItems>
  <colItems count="1">
    <i/>
  </colItems>
  <dataFields count="1">
    <dataField name="Sum of  Sales" fld="6" baseField="0" baseItem="0" numFmtId="165"/>
  </dataFields>
  <formats count="1">
    <format dxfId="72">
      <pivotArea outline="0" collapsedLevelsAreSubtotals="1" fieldPosition="0"/>
    </format>
  </formats>
  <chartFormats count="2">
    <chartFormat chart="9"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716ED37-2C51-4478-AA85-318BDA841246}" sourceName="Month Name">
  <pivotTables>
    <pivotTable tabId="4" name="PivotTable5"/>
    <pivotTable tabId="4" name="PivotTable1"/>
    <pivotTable tabId="4" name="PivotTable4"/>
    <pivotTable tabId="4" name="PivotTable7"/>
    <pivotTable tabId="4" name="PivotTable10"/>
    <pivotTable tabId="4" name="PivotTable11"/>
    <pivotTable tabId="4" name="PivotTable9"/>
    <pivotTable tabId="4" name="PivotTable12"/>
  </pivotTables>
  <data>
    <tabular pivotCacheId="2108494065">
      <items count="12">
        <i x="0" s="1"/>
        <i x="9" s="1"/>
        <i x="3" s="1"/>
        <i x="4" s="1"/>
        <i x="6" s="1"/>
        <i x="1" s="1"/>
        <i x="5" s="1"/>
        <i x="10" s="1"/>
        <i x="7" s="1"/>
        <i x="8" s="1"/>
        <i x="1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4F22E46-527B-484A-BD90-9209143E0A55}" sourceName="year">
  <pivotTables>
    <pivotTable tabId="4" name="PivotTable5"/>
    <pivotTable tabId="4" name="PivotTable1"/>
    <pivotTable tabId="4" name="PivotTable4"/>
    <pivotTable tabId="4" name="PivotTable7"/>
    <pivotTable tabId="4" name="PivotTable10"/>
    <pivotTable tabId="4" name="PivotTable11"/>
    <pivotTable tabId="4" name="PivotTable9"/>
    <pivotTable tabId="4" name="PivotTable12"/>
  </pivotTables>
  <data>
    <tabular pivotCacheId="2108494065">
      <items count="4">
        <i x="0" s="1"/>
        <i x="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7686EF5-0B8E-4D12-930F-A9789EB48036}" sourceName="Segment">
  <pivotTables>
    <pivotTable tabId="4" name="PivotTable12"/>
    <pivotTable tabId="4" name="PivotTable1"/>
    <pivotTable tabId="4" name="PivotTable10"/>
    <pivotTable tabId="4" name="PivotTable11"/>
    <pivotTable tabId="4" name="PivotTable4"/>
    <pivotTable tabId="4" name="PivotTable5"/>
    <pivotTable tabId="4" name="PivotTable7"/>
    <pivotTable tabId="4" name="PivotTable9"/>
  </pivotTables>
  <data>
    <tabular pivotCacheId="2108494065">
      <items count="5">
        <i x="2"/>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0A82BD73-D15C-4C81-AF27-72B17DAEE412}" cache="Slicer_Month_Name" caption="Month Name" columnCount="6" showCaption="0" style="SlicerStyleDark1" rowHeight="234950"/>
  <slicer name="year" xr10:uid="{CE57DC05-6932-45F5-A6D2-312E71453FDB}" cache="Slicer_year" caption="year" columnCount="2" showCaption="0" style="SlicerStyleDark1" rowHeight="237744"/>
  <slicer name="Segment" xr10:uid="{C122A62D-DFA6-41B2-97C8-F1480645BAE4}" cache="Slicer_Segment" caption="Segment" columnCount="5" showCaption="0"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BAAAED-467E-425C-AAEE-640B0A70E166}" name="Table1" displayName="Table1" ref="A1:I129">
  <autoFilter ref="A1:I129" xr:uid="{F2BAAAED-467E-425C-AAEE-640B0A70E166}"/>
  <tableColumns count="9">
    <tableColumn id="1" xr3:uid="{7FA6990A-F4D1-4B2A-BDD9-5E33CB89285C}" name="Segment" totalsRowLabel="Total"/>
    <tableColumn id="2" xr3:uid="{07467772-FEA8-4C75-AA76-57F15D8B7D3B}" name="Country"/>
    <tableColumn id="3" xr3:uid="{00FF711A-B0E2-4675-A6FC-B371212F4BB3}" name="Month Name"/>
    <tableColumn id="4" xr3:uid="{B9B857F5-66A9-4863-A580-97F19DD3E128}" name="year" dataDxfId="62"/>
    <tableColumn id="5" xr3:uid="{AEE2A0F4-CB42-4D5B-A8CF-4A14CB39ABCC}" name="Discount Band"/>
    <tableColumn id="6" xr3:uid="{6485066D-7A77-44CC-8EAB-A933B503336E}" name="Units Sold" dataDxfId="61"/>
    <tableColumn id="7" xr3:uid="{C9C800F0-7319-49E6-B001-1516D3BEE15E}" name=" Sales" dataDxfId="60" dataCellStyle="Currency"/>
    <tableColumn id="8" xr3:uid="{7BA59B38-0500-4817-B4EA-AC4CF2A94EA5}" name="COGS" dataDxfId="59"/>
    <tableColumn id="9" xr3:uid="{4261192F-22EB-46B0-8089-6750C5E18F17}" name="Profit" totalsRowFunction="sum" dataDxfId="58"/>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CBC9A-15B1-47E4-AC99-A79E479B762A}">
  <sheetPr>
    <tabColor rgb="FFFF0000"/>
  </sheetPr>
  <dimension ref="A2:R31"/>
  <sheetViews>
    <sheetView zoomScale="68" workbookViewId="0">
      <selection activeCell="L41" sqref="L41"/>
    </sheetView>
  </sheetViews>
  <sheetFormatPr defaultRowHeight="14.4" x14ac:dyDescent="0.3"/>
  <cols>
    <col min="1" max="1" width="25.109375" bestFit="1" customWidth="1"/>
    <col min="2" max="2" width="12.6640625" bestFit="1" customWidth="1"/>
    <col min="3" max="3" width="12.5546875" bestFit="1" customWidth="1"/>
    <col min="4" max="4" width="14.33203125" bestFit="1" customWidth="1"/>
    <col min="5" max="5" width="17.21875" bestFit="1" customWidth="1"/>
    <col min="6" max="6" width="12.5546875" bestFit="1" customWidth="1"/>
    <col min="7" max="7" width="11.109375" bestFit="1" customWidth="1"/>
    <col min="8" max="8" width="13.88671875" bestFit="1" customWidth="1"/>
    <col min="9" max="10" width="11.33203125" bestFit="1" customWidth="1"/>
    <col min="11" max="11" width="11.109375" bestFit="1" customWidth="1"/>
    <col min="12" max="12" width="14.33203125" bestFit="1" customWidth="1"/>
    <col min="13" max="13" width="17.21875" bestFit="1" customWidth="1"/>
    <col min="14" max="14" width="7.77734375" bestFit="1" customWidth="1"/>
    <col min="15" max="15" width="9.21875" bestFit="1" customWidth="1"/>
    <col min="16" max="16" width="7.77734375" bestFit="1" customWidth="1"/>
    <col min="17" max="17" width="23.6640625" bestFit="1" customWidth="1"/>
    <col min="18" max="18" width="11.33203125" bestFit="1" customWidth="1"/>
    <col min="19" max="19" width="10.5546875" bestFit="1" customWidth="1"/>
    <col min="20" max="20" width="13.44140625" bestFit="1" customWidth="1"/>
    <col min="21" max="21" width="11.109375" bestFit="1" customWidth="1"/>
    <col min="22" max="22" width="16.109375" bestFit="1" customWidth="1"/>
    <col min="23" max="23" width="17.109375" bestFit="1" customWidth="1"/>
    <col min="24" max="24" width="21.109375" bestFit="1" customWidth="1"/>
  </cols>
  <sheetData>
    <row r="2" spans="1:17" x14ac:dyDescent="0.3">
      <c r="A2" s="4" t="s">
        <v>34</v>
      </c>
      <c r="B2" t="s">
        <v>37</v>
      </c>
      <c r="D2" s="4" t="s">
        <v>37</v>
      </c>
      <c r="E2" s="4" t="s">
        <v>39</v>
      </c>
      <c r="L2" s="4" t="s">
        <v>38</v>
      </c>
      <c r="M2" s="4" t="s">
        <v>39</v>
      </c>
    </row>
    <row r="3" spans="1:17" x14ac:dyDescent="0.3">
      <c r="A3" s="5" t="s">
        <v>3</v>
      </c>
      <c r="B3" s="7">
        <v>9251077.5</v>
      </c>
      <c r="D3" s="4" t="s">
        <v>34</v>
      </c>
      <c r="E3" t="s">
        <v>9</v>
      </c>
      <c r="F3" t="s">
        <v>2</v>
      </c>
      <c r="G3" t="s">
        <v>5</v>
      </c>
      <c r="H3" t="s">
        <v>10</v>
      </c>
      <c r="I3" t="s">
        <v>35</v>
      </c>
      <c r="L3" s="4" t="s">
        <v>34</v>
      </c>
      <c r="M3" t="s">
        <v>9</v>
      </c>
      <c r="N3" t="s">
        <v>2</v>
      </c>
      <c r="O3" t="s">
        <v>5</v>
      </c>
      <c r="P3" t="s">
        <v>10</v>
      </c>
      <c r="Q3" t="s">
        <v>35</v>
      </c>
    </row>
    <row r="4" spans="1:17" x14ac:dyDescent="0.3">
      <c r="A4" s="6" t="s">
        <v>9</v>
      </c>
      <c r="B4" s="7">
        <v>3130706.5</v>
      </c>
      <c r="D4" s="11">
        <v>2019</v>
      </c>
      <c r="E4" s="7">
        <v>997562.5</v>
      </c>
      <c r="F4" s="7">
        <v>2545655</v>
      </c>
      <c r="G4" s="7">
        <v>235335</v>
      </c>
      <c r="H4" s="7">
        <v>1124100</v>
      </c>
      <c r="I4" s="7">
        <v>4902652.5</v>
      </c>
      <c r="L4" s="5">
        <v>2019</v>
      </c>
      <c r="M4" s="12"/>
      <c r="N4" s="12"/>
      <c r="O4" s="12"/>
      <c r="P4" s="12"/>
      <c r="Q4" s="12"/>
    </row>
    <row r="5" spans="1:17" x14ac:dyDescent="0.3">
      <c r="A5" s="6" t="s">
        <v>2</v>
      </c>
      <c r="B5" s="7">
        <v>3804319</v>
      </c>
      <c r="D5" s="11">
        <v>2021</v>
      </c>
      <c r="E5" s="7">
        <v>4613171</v>
      </c>
      <c r="F5" s="7">
        <v>11037570</v>
      </c>
      <c r="G5" s="7">
        <v>8327507</v>
      </c>
      <c r="H5" s="7">
        <v>2457018</v>
      </c>
      <c r="I5" s="7">
        <v>26435266</v>
      </c>
      <c r="L5" s="5">
        <v>2021</v>
      </c>
      <c r="M5" s="12">
        <v>73.206077313451544</v>
      </c>
      <c r="N5" s="12">
        <v>8.236012908372313</v>
      </c>
      <c r="O5" s="12">
        <v>59.807878131174711</v>
      </c>
      <c r="P5" s="12">
        <v>6.8860475046704028</v>
      </c>
      <c r="Q5" s="12">
        <v>14.652093481280884</v>
      </c>
    </row>
    <row r="6" spans="1:17" x14ac:dyDescent="0.3">
      <c r="A6" s="6" t="s">
        <v>5</v>
      </c>
      <c r="B6" s="7">
        <v>969258</v>
      </c>
      <c r="D6" s="11">
        <v>2022</v>
      </c>
      <c r="E6" s="7"/>
      <c r="F6" s="7">
        <v>626320</v>
      </c>
      <c r="G6" s="7">
        <v>133905</v>
      </c>
      <c r="H6" s="7"/>
      <c r="I6" s="7">
        <v>760225</v>
      </c>
      <c r="L6" s="5">
        <v>2022</v>
      </c>
      <c r="M6" s="12" t="e">
        <v>#NULL!</v>
      </c>
      <c r="N6" s="12">
        <v>-0.97101837311557793</v>
      </c>
      <c r="O6" s="12">
        <v>-0.99064270281760824</v>
      </c>
      <c r="P6" s="12" t="e">
        <v>#NULL!</v>
      </c>
      <c r="Q6" s="12">
        <v>-0.98528619943860418</v>
      </c>
    </row>
    <row r="7" spans="1:17" x14ac:dyDescent="0.3">
      <c r="A7" s="6" t="s">
        <v>10</v>
      </c>
      <c r="B7" s="7">
        <v>1346794</v>
      </c>
      <c r="D7" s="5" t="s">
        <v>35</v>
      </c>
      <c r="E7" s="7">
        <v>5610733.5</v>
      </c>
      <c r="F7" s="7">
        <v>14209545</v>
      </c>
      <c r="G7" s="7">
        <v>8696747</v>
      </c>
      <c r="H7" s="7">
        <v>3581118</v>
      </c>
      <c r="I7" s="7">
        <v>32098143.5</v>
      </c>
      <c r="L7" s="5" t="s">
        <v>35</v>
      </c>
      <c r="M7" s="12"/>
      <c r="N7" s="12"/>
      <c r="O7" s="12"/>
      <c r="P7" s="12"/>
      <c r="Q7" s="12"/>
    </row>
    <row r="8" spans="1:17" x14ac:dyDescent="0.3">
      <c r="A8" s="5" t="s">
        <v>6</v>
      </c>
      <c r="B8" s="7">
        <v>3823072</v>
      </c>
    </row>
    <row r="9" spans="1:17" x14ac:dyDescent="0.3">
      <c r="A9" s="6" t="s">
        <v>9</v>
      </c>
      <c r="B9" s="7">
        <v>1184685</v>
      </c>
    </row>
    <row r="10" spans="1:17" x14ac:dyDescent="0.3">
      <c r="A10" s="6" t="s">
        <v>2</v>
      </c>
      <c r="B10" s="7">
        <v>770141</v>
      </c>
      <c r="D10" s="4" t="s">
        <v>38</v>
      </c>
      <c r="E10" s="4" t="s">
        <v>39</v>
      </c>
      <c r="L10" s="4" t="s">
        <v>36</v>
      </c>
      <c r="M10" s="4" t="s">
        <v>39</v>
      </c>
    </row>
    <row r="11" spans="1:17" x14ac:dyDescent="0.3">
      <c r="A11" s="6" t="s">
        <v>5</v>
      </c>
      <c r="B11" s="7">
        <v>1868246</v>
      </c>
      <c r="D11" s="4" t="s">
        <v>34</v>
      </c>
      <c r="E11" t="s">
        <v>9</v>
      </c>
      <c r="F11" t="s">
        <v>2</v>
      </c>
      <c r="G11" t="s">
        <v>5</v>
      </c>
      <c r="H11" t="s">
        <v>10</v>
      </c>
      <c r="I11" t="s">
        <v>35</v>
      </c>
      <c r="L11" s="4" t="s">
        <v>34</v>
      </c>
      <c r="M11" t="s">
        <v>9</v>
      </c>
      <c r="N11" t="s">
        <v>2</v>
      </c>
      <c r="O11" t="s">
        <v>5</v>
      </c>
      <c r="P11" t="s">
        <v>10</v>
      </c>
      <c r="Q11" t="s">
        <v>35</v>
      </c>
    </row>
    <row r="12" spans="1:17" x14ac:dyDescent="0.3">
      <c r="A12" s="5" t="s">
        <v>4</v>
      </c>
      <c r="B12" s="7">
        <v>8563004</v>
      </c>
      <c r="D12" s="11">
        <v>2019</v>
      </c>
      <c r="E12" s="7">
        <v>39902.5</v>
      </c>
      <c r="F12" s="7">
        <v>689475</v>
      </c>
      <c r="G12" s="7">
        <v>78445</v>
      </c>
      <c r="H12" s="7">
        <v>187350</v>
      </c>
      <c r="I12" s="7">
        <v>995172.5</v>
      </c>
      <c r="L12" s="5">
        <v>2019</v>
      </c>
      <c r="M12" s="1">
        <v>7981</v>
      </c>
      <c r="N12" s="1">
        <v>19376</v>
      </c>
      <c r="O12" s="1">
        <v>15689</v>
      </c>
      <c r="P12" s="1">
        <v>3747</v>
      </c>
      <c r="Q12" s="1">
        <v>46793</v>
      </c>
    </row>
    <row r="13" spans="1:17" x14ac:dyDescent="0.3">
      <c r="A13" s="6" t="s">
        <v>2</v>
      </c>
      <c r="B13" s="7">
        <v>7146670</v>
      </c>
      <c r="D13" s="11">
        <v>2021</v>
      </c>
      <c r="E13" s="7">
        <v>2961008</v>
      </c>
      <c r="F13" s="7">
        <v>6368000</v>
      </c>
      <c r="G13" s="7">
        <v>4770074</v>
      </c>
      <c r="H13" s="7">
        <v>1477451</v>
      </c>
      <c r="I13" s="7">
        <v>15576533</v>
      </c>
      <c r="L13" s="5">
        <v>2021</v>
      </c>
      <c r="M13" s="1">
        <v>5681</v>
      </c>
      <c r="N13" s="1">
        <v>22808</v>
      </c>
      <c r="O13" s="1">
        <v>18303</v>
      </c>
      <c r="P13" s="1">
        <v>3035</v>
      </c>
      <c r="Q13" s="1">
        <v>49827</v>
      </c>
    </row>
    <row r="14" spans="1:17" x14ac:dyDescent="0.3">
      <c r="A14" s="6" t="s">
        <v>5</v>
      </c>
      <c r="B14" s="7">
        <v>1416334</v>
      </c>
      <c r="D14" s="11">
        <v>2022</v>
      </c>
      <c r="E14" s="7"/>
      <c r="F14" s="7">
        <v>184555</v>
      </c>
      <c r="G14" s="7">
        <v>44635</v>
      </c>
      <c r="H14" s="7"/>
      <c r="I14" s="7">
        <v>229190</v>
      </c>
      <c r="L14" s="5">
        <v>2022</v>
      </c>
      <c r="M14" s="1"/>
      <c r="N14" s="1">
        <v>6352</v>
      </c>
      <c r="O14" s="1">
        <v>8927</v>
      </c>
      <c r="P14" s="1"/>
      <c r="Q14" s="1">
        <v>15279</v>
      </c>
    </row>
    <row r="15" spans="1:17" x14ac:dyDescent="0.3">
      <c r="A15" s="5" t="s">
        <v>7</v>
      </c>
      <c r="B15" s="7">
        <v>7429554</v>
      </c>
      <c r="D15" s="5" t="s">
        <v>35</v>
      </c>
      <c r="E15" s="7">
        <v>3000910.5</v>
      </c>
      <c r="F15" s="7">
        <v>7242030</v>
      </c>
      <c r="G15" s="7">
        <v>4893154</v>
      </c>
      <c r="H15" s="7">
        <v>1664801</v>
      </c>
      <c r="I15" s="7">
        <v>16800895.5</v>
      </c>
      <c r="L15" s="5" t="s">
        <v>35</v>
      </c>
      <c r="M15" s="1">
        <v>13662</v>
      </c>
      <c r="N15" s="1">
        <v>48536</v>
      </c>
      <c r="O15" s="1">
        <v>42919</v>
      </c>
      <c r="P15" s="1">
        <v>6782</v>
      </c>
      <c r="Q15" s="1">
        <v>111899</v>
      </c>
    </row>
    <row r="16" spans="1:17" x14ac:dyDescent="0.3">
      <c r="A16" s="6" t="s">
        <v>2</v>
      </c>
      <c r="B16" s="7">
        <v>1643766</v>
      </c>
    </row>
    <row r="17" spans="1:18" x14ac:dyDescent="0.3">
      <c r="A17" s="6" t="s">
        <v>5</v>
      </c>
      <c r="B17" s="7">
        <v>3551464</v>
      </c>
    </row>
    <row r="18" spans="1:18" x14ac:dyDescent="0.3">
      <c r="A18" s="6" t="s">
        <v>10</v>
      </c>
      <c r="B18" s="7">
        <v>2234324</v>
      </c>
      <c r="D18" s="4" t="s">
        <v>38</v>
      </c>
      <c r="E18" s="4" t="s">
        <v>39</v>
      </c>
      <c r="L18" s="13" t="s">
        <v>37</v>
      </c>
      <c r="M18" s="13" t="s">
        <v>39</v>
      </c>
      <c r="N18" s="7"/>
      <c r="O18" s="7"/>
      <c r="P18" s="7"/>
      <c r="Q18" s="7"/>
      <c r="R18" s="7"/>
    </row>
    <row r="19" spans="1:18" x14ac:dyDescent="0.3">
      <c r="A19" s="5" t="s">
        <v>11</v>
      </c>
      <c r="B19" s="7">
        <v>3031436</v>
      </c>
      <c r="D19" s="4" t="s">
        <v>34</v>
      </c>
      <c r="E19" t="s">
        <v>9</v>
      </c>
      <c r="F19" t="s">
        <v>2</v>
      </c>
      <c r="G19" t="s">
        <v>5</v>
      </c>
      <c r="H19" t="s">
        <v>10</v>
      </c>
      <c r="I19" t="s">
        <v>35</v>
      </c>
      <c r="L19" s="13" t="s">
        <v>34</v>
      </c>
      <c r="M19" s="7" t="s">
        <v>3</v>
      </c>
      <c r="N19" s="7" t="s">
        <v>6</v>
      </c>
      <c r="O19" s="7" t="s">
        <v>4</v>
      </c>
      <c r="P19" s="7" t="s">
        <v>7</v>
      </c>
      <c r="Q19" s="7" t="s">
        <v>11</v>
      </c>
      <c r="R19" s="7" t="s">
        <v>35</v>
      </c>
    </row>
    <row r="20" spans="1:18" x14ac:dyDescent="0.3">
      <c r="A20" s="6" t="s">
        <v>9</v>
      </c>
      <c r="B20" s="7">
        <v>1295342</v>
      </c>
      <c r="D20" s="5">
        <v>2019</v>
      </c>
      <c r="E20" s="12"/>
      <c r="F20" s="12"/>
      <c r="G20" s="12"/>
      <c r="H20" s="12"/>
      <c r="I20" s="12"/>
      <c r="L20" s="14">
        <v>2019</v>
      </c>
      <c r="M20" s="7">
        <v>1730317.5</v>
      </c>
      <c r="N20" s="7">
        <v>304385</v>
      </c>
      <c r="O20" s="7">
        <v>1831877</v>
      </c>
      <c r="P20" s="7">
        <v>666222</v>
      </c>
      <c r="Q20" s="7">
        <v>369851</v>
      </c>
      <c r="R20" s="7">
        <v>4902652.5</v>
      </c>
    </row>
    <row r="21" spans="1:18" x14ac:dyDescent="0.3">
      <c r="A21" s="6" t="s">
        <v>2</v>
      </c>
      <c r="B21" s="7">
        <v>844649</v>
      </c>
      <c r="D21" s="5">
        <v>2021</v>
      </c>
      <c r="E21" s="12">
        <v>73.206077313451544</v>
      </c>
      <c r="F21" s="12">
        <v>8.236012908372313</v>
      </c>
      <c r="G21" s="12">
        <v>59.807878131174711</v>
      </c>
      <c r="H21" s="12">
        <v>6.8860475046704028</v>
      </c>
      <c r="I21" s="12">
        <v>14.652093481280884</v>
      </c>
      <c r="L21" s="14">
        <v>2021</v>
      </c>
      <c r="M21" s="7">
        <v>7488390</v>
      </c>
      <c r="N21" s="7">
        <v>3448037</v>
      </c>
      <c r="O21" s="7">
        <v>6148022</v>
      </c>
      <c r="P21" s="7">
        <v>6689232</v>
      </c>
      <c r="Q21" s="7">
        <v>2661585</v>
      </c>
      <c r="R21" s="7">
        <v>26435266</v>
      </c>
    </row>
    <row r="22" spans="1:18" x14ac:dyDescent="0.3">
      <c r="A22" s="6" t="s">
        <v>5</v>
      </c>
      <c r="B22" s="7">
        <v>891445</v>
      </c>
      <c r="D22" s="5">
        <v>2022</v>
      </c>
      <c r="E22" s="12" t="e">
        <v>#NULL!</v>
      </c>
      <c r="F22" s="12">
        <v>-0.97101837311557793</v>
      </c>
      <c r="G22" s="12">
        <v>-0.99064270281760824</v>
      </c>
      <c r="H22" s="12" t="e">
        <v>#NULL!</v>
      </c>
      <c r="I22" s="12">
        <v>-0.98528619943860418</v>
      </c>
      <c r="L22" s="14">
        <v>2022</v>
      </c>
      <c r="M22" s="7">
        <v>32370</v>
      </c>
      <c r="N22" s="7">
        <v>70650</v>
      </c>
      <c r="O22" s="7">
        <v>583105</v>
      </c>
      <c r="P22" s="7">
        <v>74100</v>
      </c>
      <c r="Q22" s="7"/>
      <c r="R22" s="7">
        <v>760225</v>
      </c>
    </row>
    <row r="23" spans="1:18" x14ac:dyDescent="0.3">
      <c r="A23" s="5" t="s">
        <v>35</v>
      </c>
      <c r="B23" s="7">
        <v>32098143.5</v>
      </c>
      <c r="D23" s="5" t="s">
        <v>35</v>
      </c>
      <c r="E23" s="12"/>
      <c r="F23" s="12"/>
      <c r="G23" s="12"/>
      <c r="H23" s="12"/>
      <c r="I23" s="12"/>
      <c r="L23" s="14" t="s">
        <v>35</v>
      </c>
      <c r="M23" s="7">
        <v>9251077.5</v>
      </c>
      <c r="N23" s="7">
        <v>3823072</v>
      </c>
      <c r="O23" s="7">
        <v>8563004</v>
      </c>
      <c r="P23" s="7">
        <v>7429554</v>
      </c>
      <c r="Q23" s="7">
        <v>3031436</v>
      </c>
      <c r="R23" s="7">
        <v>32098143.5</v>
      </c>
    </row>
    <row r="26" spans="1:18" x14ac:dyDescent="0.3">
      <c r="D26" s="4" t="s">
        <v>37</v>
      </c>
      <c r="E26" s="4" t="s">
        <v>39</v>
      </c>
    </row>
    <row r="27" spans="1:18" x14ac:dyDescent="0.3">
      <c r="D27" s="4" t="s">
        <v>34</v>
      </c>
      <c r="E27" t="s">
        <v>9</v>
      </c>
      <c r="F27" t="s">
        <v>2</v>
      </c>
      <c r="G27" t="s">
        <v>5</v>
      </c>
      <c r="H27" t="s">
        <v>10</v>
      </c>
      <c r="I27" t="s">
        <v>35</v>
      </c>
    </row>
    <row r="28" spans="1:18" x14ac:dyDescent="0.3">
      <c r="D28" s="5">
        <v>2019</v>
      </c>
      <c r="E28" s="12"/>
      <c r="F28" s="12"/>
      <c r="G28" s="12"/>
      <c r="H28" s="12"/>
      <c r="I28" s="12"/>
    </row>
    <row r="29" spans="1:18" x14ac:dyDescent="0.3">
      <c r="D29" s="5">
        <v>2021</v>
      </c>
      <c r="E29" s="12">
        <v>3.6244430800075182</v>
      </c>
      <c r="F29" s="12">
        <v>3.3358467663528639</v>
      </c>
      <c r="G29" s="12">
        <v>34.385756474812503</v>
      </c>
      <c r="H29" s="12">
        <v>1.1857646116893514</v>
      </c>
      <c r="I29" s="12">
        <v>4.3920333941677487</v>
      </c>
    </row>
    <row r="30" spans="1:18" x14ac:dyDescent="0.3">
      <c r="D30" s="5">
        <v>2022</v>
      </c>
      <c r="E30" s="12" t="e">
        <v>#NULL!</v>
      </c>
      <c r="F30" s="12">
        <v>-0.94325562601188484</v>
      </c>
      <c r="G30" s="12">
        <v>-0.98392015761739982</v>
      </c>
      <c r="H30" s="12" t="e">
        <v>#NULL!</v>
      </c>
      <c r="I30" s="12">
        <v>-0.97124201436066504</v>
      </c>
    </row>
    <row r="31" spans="1:18" x14ac:dyDescent="0.3">
      <c r="D31" s="5" t="s">
        <v>35</v>
      </c>
      <c r="E31" s="12"/>
      <c r="F31" s="12"/>
      <c r="G31" s="12"/>
      <c r="H31" s="12"/>
      <c r="I31"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4DB65-F279-4E42-AD78-EBC8DF1A26C7}">
  <sheetPr>
    <tabColor rgb="FFFFFF00"/>
  </sheetPr>
  <dimension ref="A1:I129"/>
  <sheetViews>
    <sheetView workbookViewId="0">
      <pane ySplit="1" topLeftCell="A90" activePane="bottomLeft" state="frozen"/>
      <selection pane="bottomLeft" activeCell="K9" sqref="K9"/>
    </sheetView>
  </sheetViews>
  <sheetFormatPr defaultRowHeight="14.4" x14ac:dyDescent="0.3"/>
  <cols>
    <col min="1" max="1" width="16.21875" bestFit="1" customWidth="1"/>
    <col min="2" max="2" width="23.21875" bestFit="1" customWidth="1"/>
    <col min="3" max="3" width="16.21875" customWidth="1"/>
    <col min="4" max="4" width="17.109375" style="10" customWidth="1"/>
    <col min="5" max="5" width="15.77734375" customWidth="1"/>
    <col min="6" max="6" width="12.21875" style="1" customWidth="1"/>
    <col min="7" max="7" width="12.5546875" style="2" bestFit="1" customWidth="1"/>
    <col min="8" max="9" width="12.5546875" style="3" bestFit="1" customWidth="1"/>
  </cols>
  <sheetData>
    <row r="1" spans="1:9" x14ac:dyDescent="0.3">
      <c r="A1" t="s">
        <v>0</v>
      </c>
      <c r="B1" t="s">
        <v>1</v>
      </c>
      <c r="C1" t="s">
        <v>12</v>
      </c>
      <c r="D1" s="9" t="s">
        <v>40</v>
      </c>
      <c r="E1" t="s">
        <v>17</v>
      </c>
      <c r="F1" s="1" t="s">
        <v>13</v>
      </c>
      <c r="G1" s="2" t="s">
        <v>14</v>
      </c>
      <c r="H1" s="3" t="s">
        <v>15</v>
      </c>
      <c r="I1" s="3" t="s">
        <v>16</v>
      </c>
    </row>
    <row r="2" spans="1:9" x14ac:dyDescent="0.3">
      <c r="A2" t="s">
        <v>2</v>
      </c>
      <c r="B2" t="s">
        <v>3</v>
      </c>
      <c r="C2" t="s">
        <v>22</v>
      </c>
      <c r="D2" s="10">
        <v>2019</v>
      </c>
      <c r="E2" t="s">
        <v>18</v>
      </c>
      <c r="F2" s="1">
        <v>1619</v>
      </c>
      <c r="G2" s="2">
        <v>32370</v>
      </c>
      <c r="H2" s="3">
        <v>16185</v>
      </c>
      <c r="I2" s="3">
        <v>16185</v>
      </c>
    </row>
    <row r="3" spans="1:9" x14ac:dyDescent="0.3">
      <c r="A3" t="s">
        <v>2</v>
      </c>
      <c r="B3" t="s">
        <v>4</v>
      </c>
      <c r="C3" t="s">
        <v>22</v>
      </c>
      <c r="D3" s="10">
        <v>2019</v>
      </c>
      <c r="E3" t="s">
        <v>18</v>
      </c>
      <c r="F3" s="1">
        <v>1321</v>
      </c>
      <c r="G3" s="2">
        <v>26420</v>
      </c>
      <c r="H3" s="3">
        <v>13210</v>
      </c>
      <c r="I3" s="3">
        <v>13210</v>
      </c>
    </row>
    <row r="4" spans="1:9" x14ac:dyDescent="0.3">
      <c r="A4" t="s">
        <v>5</v>
      </c>
      <c r="B4" t="s">
        <v>6</v>
      </c>
      <c r="C4" t="s">
        <v>23</v>
      </c>
      <c r="D4" s="10">
        <v>2019</v>
      </c>
      <c r="E4" t="s">
        <v>18</v>
      </c>
      <c r="F4" s="1">
        <v>2178</v>
      </c>
      <c r="G4" s="2">
        <v>32670</v>
      </c>
      <c r="H4" s="3">
        <v>21780</v>
      </c>
      <c r="I4" s="3">
        <v>10890</v>
      </c>
    </row>
    <row r="5" spans="1:9" x14ac:dyDescent="0.3">
      <c r="A5" t="s">
        <v>5</v>
      </c>
      <c r="B5" t="s">
        <v>4</v>
      </c>
      <c r="C5" t="s">
        <v>23</v>
      </c>
      <c r="D5" s="10">
        <v>2019</v>
      </c>
      <c r="E5" t="s">
        <v>18</v>
      </c>
      <c r="F5" s="1">
        <v>888</v>
      </c>
      <c r="G5" s="2">
        <v>13320</v>
      </c>
      <c r="H5" s="3">
        <v>8880</v>
      </c>
      <c r="I5" s="3">
        <v>4440</v>
      </c>
    </row>
    <row r="6" spans="1:9" x14ac:dyDescent="0.3">
      <c r="A6" t="s">
        <v>5</v>
      </c>
      <c r="B6" t="s">
        <v>7</v>
      </c>
      <c r="C6" t="s">
        <v>23</v>
      </c>
      <c r="D6" s="10">
        <v>2019</v>
      </c>
      <c r="E6" t="s">
        <v>18</v>
      </c>
      <c r="F6" s="1">
        <v>2470</v>
      </c>
      <c r="G6" s="2">
        <v>37050</v>
      </c>
      <c r="H6" s="3">
        <v>24700</v>
      </c>
      <c r="I6" s="3">
        <v>12350</v>
      </c>
    </row>
    <row r="7" spans="1:9" x14ac:dyDescent="0.3">
      <c r="A7" t="s">
        <v>2</v>
      </c>
      <c r="B7" t="s">
        <v>4</v>
      </c>
      <c r="C7" t="s">
        <v>24</v>
      </c>
      <c r="D7" s="10">
        <v>2019</v>
      </c>
      <c r="E7" t="s">
        <v>18</v>
      </c>
      <c r="F7" s="1">
        <v>1513</v>
      </c>
      <c r="G7" s="2">
        <v>529550</v>
      </c>
      <c r="H7" s="3">
        <v>393380</v>
      </c>
      <c r="I7" s="3">
        <v>136170</v>
      </c>
    </row>
    <row r="8" spans="1:9" x14ac:dyDescent="0.3">
      <c r="A8" t="s">
        <v>5</v>
      </c>
      <c r="B8" t="s">
        <v>4</v>
      </c>
      <c r="C8" t="s">
        <v>25</v>
      </c>
      <c r="D8" s="10">
        <v>2019</v>
      </c>
      <c r="E8" t="s">
        <v>18</v>
      </c>
      <c r="F8" s="1">
        <v>921</v>
      </c>
      <c r="G8" s="2">
        <v>13815</v>
      </c>
      <c r="H8" s="3">
        <v>9210</v>
      </c>
      <c r="I8" s="3">
        <v>4605</v>
      </c>
    </row>
    <row r="9" spans="1:9" x14ac:dyDescent="0.3">
      <c r="A9" t="s">
        <v>8</v>
      </c>
      <c r="B9" t="s">
        <v>3</v>
      </c>
      <c r="C9" t="s">
        <v>23</v>
      </c>
      <c r="D9" s="10">
        <v>2019</v>
      </c>
      <c r="E9" t="s">
        <v>18</v>
      </c>
      <c r="F9" s="1">
        <v>2518</v>
      </c>
      <c r="G9" s="2">
        <v>30216</v>
      </c>
      <c r="H9" s="3">
        <v>7554</v>
      </c>
      <c r="I9" s="3">
        <v>22662</v>
      </c>
    </row>
    <row r="10" spans="1:9" x14ac:dyDescent="0.3">
      <c r="A10" t="s">
        <v>2</v>
      </c>
      <c r="B10" t="s">
        <v>6</v>
      </c>
      <c r="C10" t="s">
        <v>23</v>
      </c>
      <c r="D10" s="10">
        <v>2019</v>
      </c>
      <c r="E10" t="s">
        <v>18</v>
      </c>
      <c r="F10" s="1">
        <v>1899</v>
      </c>
      <c r="G10" s="2">
        <v>37980</v>
      </c>
      <c r="H10" s="3">
        <v>18990</v>
      </c>
      <c r="I10" s="3">
        <v>18990</v>
      </c>
    </row>
    <row r="11" spans="1:9" x14ac:dyDescent="0.3">
      <c r="A11" t="s">
        <v>8</v>
      </c>
      <c r="B11" t="s">
        <v>4</v>
      </c>
      <c r="C11" t="s">
        <v>32</v>
      </c>
      <c r="D11" s="10">
        <v>2019</v>
      </c>
      <c r="E11" t="s">
        <v>19</v>
      </c>
      <c r="F11" s="1">
        <v>1545</v>
      </c>
      <c r="G11" s="2">
        <v>18540</v>
      </c>
      <c r="H11" s="3">
        <v>4635</v>
      </c>
      <c r="I11" s="3">
        <v>13905</v>
      </c>
    </row>
    <row r="12" spans="1:9" x14ac:dyDescent="0.3">
      <c r="A12" t="s">
        <v>5</v>
      </c>
      <c r="B12" t="s">
        <v>7</v>
      </c>
      <c r="C12" t="s">
        <v>32</v>
      </c>
      <c r="D12" s="10">
        <v>2019</v>
      </c>
      <c r="E12" t="s">
        <v>19</v>
      </c>
      <c r="F12" s="1">
        <v>2470</v>
      </c>
      <c r="G12" s="2">
        <v>37050</v>
      </c>
      <c r="H12" s="3">
        <v>24700</v>
      </c>
      <c r="I12" s="3">
        <v>12350</v>
      </c>
    </row>
    <row r="13" spans="1:9" x14ac:dyDescent="0.3">
      <c r="A13" t="s">
        <v>9</v>
      </c>
      <c r="B13" t="s">
        <v>3</v>
      </c>
      <c r="C13" t="s">
        <v>26</v>
      </c>
      <c r="D13" s="10">
        <v>2019</v>
      </c>
      <c r="E13" t="s">
        <v>19</v>
      </c>
      <c r="F13" s="1">
        <v>2666</v>
      </c>
      <c r="G13" s="2">
        <v>333187.5</v>
      </c>
      <c r="H13" s="3">
        <v>319860</v>
      </c>
      <c r="I13" s="3">
        <v>13327.5</v>
      </c>
    </row>
    <row r="14" spans="1:9" x14ac:dyDescent="0.3">
      <c r="A14" t="s">
        <v>10</v>
      </c>
      <c r="B14" t="s">
        <v>7</v>
      </c>
      <c r="C14" t="s">
        <v>33</v>
      </c>
      <c r="D14" s="10">
        <v>2019</v>
      </c>
      <c r="E14" t="s">
        <v>19</v>
      </c>
      <c r="F14" s="1">
        <v>958</v>
      </c>
      <c r="G14" s="2">
        <v>287400</v>
      </c>
      <c r="H14" s="3">
        <v>239500</v>
      </c>
      <c r="I14" s="3">
        <v>47900</v>
      </c>
    </row>
    <row r="15" spans="1:9" x14ac:dyDescent="0.3">
      <c r="A15" t="s">
        <v>2</v>
      </c>
      <c r="B15" t="s">
        <v>4</v>
      </c>
      <c r="C15" t="s">
        <v>28</v>
      </c>
      <c r="D15" s="10">
        <v>2019</v>
      </c>
      <c r="E15" t="s">
        <v>21</v>
      </c>
      <c r="F15" s="1">
        <v>2146</v>
      </c>
      <c r="G15" s="2">
        <v>15022</v>
      </c>
      <c r="H15" s="3">
        <v>10730</v>
      </c>
      <c r="I15" s="3">
        <v>4292</v>
      </c>
    </row>
    <row r="16" spans="1:9" x14ac:dyDescent="0.3">
      <c r="A16" t="s">
        <v>9</v>
      </c>
      <c r="B16" t="s">
        <v>3</v>
      </c>
      <c r="C16" t="s">
        <v>29</v>
      </c>
      <c r="D16" s="10">
        <v>2019</v>
      </c>
      <c r="E16" t="s">
        <v>19</v>
      </c>
      <c r="F16" s="1">
        <v>345</v>
      </c>
      <c r="G16" s="2">
        <v>43125</v>
      </c>
      <c r="H16" s="3">
        <v>41400</v>
      </c>
      <c r="I16" s="3">
        <v>1725</v>
      </c>
    </row>
    <row r="17" spans="1:9" x14ac:dyDescent="0.3">
      <c r="A17" t="s">
        <v>5</v>
      </c>
      <c r="B17" t="s">
        <v>11</v>
      </c>
      <c r="C17" t="s">
        <v>24</v>
      </c>
      <c r="D17" s="10">
        <v>2019</v>
      </c>
      <c r="E17" t="s">
        <v>19</v>
      </c>
      <c r="F17" s="1">
        <v>615</v>
      </c>
      <c r="G17" s="2">
        <v>9225</v>
      </c>
      <c r="H17" s="3">
        <v>6150</v>
      </c>
      <c r="I17" s="3">
        <v>3075</v>
      </c>
    </row>
    <row r="18" spans="1:9" x14ac:dyDescent="0.3">
      <c r="A18" t="s">
        <v>2</v>
      </c>
      <c r="B18" t="s">
        <v>3</v>
      </c>
      <c r="C18" t="s">
        <v>30</v>
      </c>
      <c r="D18" s="10">
        <v>2019</v>
      </c>
      <c r="E18" t="s">
        <v>19</v>
      </c>
      <c r="F18" s="1">
        <v>292</v>
      </c>
      <c r="G18" s="2">
        <v>5840</v>
      </c>
      <c r="H18" s="3">
        <v>2920</v>
      </c>
      <c r="I18" s="3">
        <v>2920</v>
      </c>
    </row>
    <row r="19" spans="1:9" x14ac:dyDescent="0.3">
      <c r="A19" t="s">
        <v>5</v>
      </c>
      <c r="B19" t="s">
        <v>7</v>
      </c>
      <c r="C19" t="s">
        <v>30</v>
      </c>
      <c r="D19" s="10">
        <v>2019</v>
      </c>
      <c r="E19" t="s">
        <v>19</v>
      </c>
      <c r="F19" s="1">
        <v>974</v>
      </c>
      <c r="G19" s="2">
        <v>14610</v>
      </c>
      <c r="H19" s="3">
        <v>9740</v>
      </c>
      <c r="I19" s="3">
        <v>4870</v>
      </c>
    </row>
    <row r="20" spans="1:9" x14ac:dyDescent="0.3">
      <c r="A20" t="s">
        <v>8</v>
      </c>
      <c r="B20" t="s">
        <v>3</v>
      </c>
      <c r="C20" t="s">
        <v>23</v>
      </c>
      <c r="D20" s="10">
        <v>2019</v>
      </c>
      <c r="E20" t="s">
        <v>20</v>
      </c>
      <c r="F20" s="1">
        <v>2518</v>
      </c>
      <c r="G20" s="2">
        <v>30216</v>
      </c>
      <c r="H20" s="3">
        <v>7554</v>
      </c>
      <c r="I20" s="3">
        <v>22662</v>
      </c>
    </row>
    <row r="21" spans="1:9" x14ac:dyDescent="0.3">
      <c r="A21" t="s">
        <v>2</v>
      </c>
      <c r="B21" t="s">
        <v>4</v>
      </c>
      <c r="C21" t="s">
        <v>23</v>
      </c>
      <c r="D21" s="10">
        <v>2019</v>
      </c>
      <c r="E21" t="s">
        <v>20</v>
      </c>
      <c r="F21" s="1">
        <v>1006</v>
      </c>
      <c r="G21" s="2">
        <v>352100</v>
      </c>
      <c r="H21" s="3">
        <v>261560</v>
      </c>
      <c r="I21" s="3">
        <v>90540</v>
      </c>
    </row>
    <row r="22" spans="1:9" x14ac:dyDescent="0.3">
      <c r="A22" t="s">
        <v>8</v>
      </c>
      <c r="B22" t="s">
        <v>4</v>
      </c>
      <c r="C22" t="s">
        <v>26</v>
      </c>
      <c r="D22" s="10">
        <v>2019</v>
      </c>
      <c r="E22" t="s">
        <v>19</v>
      </c>
      <c r="F22" s="1">
        <v>367</v>
      </c>
      <c r="G22" s="2">
        <v>4404</v>
      </c>
      <c r="H22" s="3">
        <v>1101</v>
      </c>
      <c r="I22" s="3">
        <v>3303</v>
      </c>
    </row>
    <row r="23" spans="1:9" x14ac:dyDescent="0.3">
      <c r="A23" t="s">
        <v>2</v>
      </c>
      <c r="B23" t="s">
        <v>7</v>
      </c>
      <c r="C23" t="s">
        <v>27</v>
      </c>
      <c r="D23" s="10">
        <v>2019</v>
      </c>
      <c r="E23" t="s">
        <v>20</v>
      </c>
      <c r="F23" s="1">
        <v>883</v>
      </c>
      <c r="G23" s="2">
        <v>6181</v>
      </c>
      <c r="H23" s="3">
        <v>4415</v>
      </c>
      <c r="I23" s="3">
        <v>1766</v>
      </c>
    </row>
    <row r="24" spans="1:9" x14ac:dyDescent="0.3">
      <c r="A24" t="s">
        <v>5</v>
      </c>
      <c r="B24" t="s">
        <v>6</v>
      </c>
      <c r="C24" t="s">
        <v>28</v>
      </c>
      <c r="D24" s="10">
        <v>2019</v>
      </c>
      <c r="E24" t="s">
        <v>20</v>
      </c>
      <c r="F24" s="1">
        <v>549</v>
      </c>
      <c r="G24" s="2">
        <v>8235</v>
      </c>
      <c r="H24" s="3">
        <v>5490</v>
      </c>
      <c r="I24" s="3">
        <v>2745</v>
      </c>
    </row>
    <row r="25" spans="1:9" x14ac:dyDescent="0.3">
      <c r="A25" t="s">
        <v>10</v>
      </c>
      <c r="B25" t="s">
        <v>7</v>
      </c>
      <c r="C25" t="s">
        <v>28</v>
      </c>
      <c r="D25" s="10">
        <v>2019</v>
      </c>
      <c r="E25" t="s">
        <v>18</v>
      </c>
      <c r="F25" s="1">
        <v>788</v>
      </c>
      <c r="G25" s="2">
        <v>236400</v>
      </c>
      <c r="H25" s="3">
        <v>197000</v>
      </c>
      <c r="I25" s="3">
        <v>39400</v>
      </c>
    </row>
    <row r="26" spans="1:9" x14ac:dyDescent="0.3">
      <c r="A26" t="s">
        <v>5</v>
      </c>
      <c r="B26" t="s">
        <v>7</v>
      </c>
      <c r="C26" t="s">
        <v>28</v>
      </c>
      <c r="D26" s="10">
        <v>2019</v>
      </c>
      <c r="E26" t="s">
        <v>18</v>
      </c>
      <c r="F26" s="1">
        <v>2472</v>
      </c>
      <c r="G26" s="2">
        <v>37080</v>
      </c>
      <c r="H26" s="3">
        <v>24720</v>
      </c>
      <c r="I26" s="3">
        <v>12360</v>
      </c>
    </row>
    <row r="27" spans="1:9" x14ac:dyDescent="0.3">
      <c r="A27" t="s">
        <v>2</v>
      </c>
      <c r="B27" t="s">
        <v>11</v>
      </c>
      <c r="C27" t="s">
        <v>29</v>
      </c>
      <c r="D27" s="10">
        <v>2019</v>
      </c>
      <c r="E27" t="s">
        <v>18</v>
      </c>
      <c r="F27" s="1">
        <v>1143</v>
      </c>
      <c r="G27" s="2">
        <v>8001</v>
      </c>
      <c r="H27" s="3">
        <v>5715</v>
      </c>
      <c r="I27" s="3">
        <v>2286</v>
      </c>
    </row>
    <row r="28" spans="1:9" x14ac:dyDescent="0.3">
      <c r="A28" t="s">
        <v>2</v>
      </c>
      <c r="B28" t="s">
        <v>3</v>
      </c>
      <c r="C28" t="s">
        <v>31</v>
      </c>
      <c r="D28" s="10">
        <v>2019</v>
      </c>
      <c r="E28" t="s">
        <v>18</v>
      </c>
      <c r="F28" s="1">
        <v>1725</v>
      </c>
      <c r="G28" s="2">
        <v>603750</v>
      </c>
      <c r="H28" s="3">
        <v>448500</v>
      </c>
      <c r="I28" s="3">
        <v>155250</v>
      </c>
    </row>
    <row r="29" spans="1:9" x14ac:dyDescent="0.3">
      <c r="A29" t="s">
        <v>8</v>
      </c>
      <c r="B29" t="s">
        <v>11</v>
      </c>
      <c r="C29" t="s">
        <v>31</v>
      </c>
      <c r="D29" s="10">
        <v>2019</v>
      </c>
      <c r="E29" t="s">
        <v>18</v>
      </c>
      <c r="F29" s="1">
        <v>912</v>
      </c>
      <c r="G29" s="2">
        <v>10944</v>
      </c>
      <c r="H29" s="3">
        <v>2736</v>
      </c>
      <c r="I29" s="3">
        <v>8208</v>
      </c>
    </row>
    <row r="30" spans="1:9" x14ac:dyDescent="0.3">
      <c r="A30" t="s">
        <v>5</v>
      </c>
      <c r="B30" t="s">
        <v>3</v>
      </c>
      <c r="C30" t="s">
        <v>24</v>
      </c>
      <c r="D30" s="10">
        <v>2019</v>
      </c>
      <c r="E30" t="s">
        <v>21</v>
      </c>
      <c r="F30" s="1">
        <v>2152</v>
      </c>
      <c r="G30" s="2">
        <v>32280</v>
      </c>
      <c r="H30" s="3">
        <v>21520</v>
      </c>
      <c r="I30" s="3">
        <v>10760</v>
      </c>
    </row>
    <row r="31" spans="1:9" x14ac:dyDescent="0.3">
      <c r="A31" t="s">
        <v>2</v>
      </c>
      <c r="B31" t="s">
        <v>3</v>
      </c>
      <c r="C31" t="s">
        <v>24</v>
      </c>
      <c r="D31" s="10">
        <v>2019</v>
      </c>
      <c r="E31" t="s">
        <v>21</v>
      </c>
      <c r="F31" s="1">
        <v>1817</v>
      </c>
      <c r="G31" s="2">
        <v>36340</v>
      </c>
      <c r="H31" s="3">
        <v>18170</v>
      </c>
      <c r="I31" s="3">
        <v>18170</v>
      </c>
    </row>
    <row r="32" spans="1:9" x14ac:dyDescent="0.3">
      <c r="A32" t="s">
        <v>2</v>
      </c>
      <c r="B32" t="s">
        <v>4</v>
      </c>
      <c r="C32" t="s">
        <v>24</v>
      </c>
      <c r="D32" s="10">
        <v>2019</v>
      </c>
      <c r="E32" t="s">
        <v>21</v>
      </c>
      <c r="F32" s="1">
        <v>1513</v>
      </c>
      <c r="G32" s="2">
        <v>529550</v>
      </c>
      <c r="H32" s="3">
        <v>393380</v>
      </c>
      <c r="I32" s="3">
        <v>136170</v>
      </c>
    </row>
    <row r="33" spans="1:9" x14ac:dyDescent="0.3">
      <c r="A33" t="s">
        <v>2</v>
      </c>
      <c r="B33" t="s">
        <v>7</v>
      </c>
      <c r="C33" t="s">
        <v>22</v>
      </c>
      <c r="D33" s="10">
        <v>2019</v>
      </c>
      <c r="E33" t="s">
        <v>19</v>
      </c>
      <c r="F33" s="1">
        <v>1493</v>
      </c>
      <c r="G33" s="2">
        <v>10451</v>
      </c>
      <c r="H33" s="3">
        <v>7465</v>
      </c>
      <c r="I33" s="3">
        <v>2986</v>
      </c>
    </row>
    <row r="34" spans="1:9" x14ac:dyDescent="0.3">
      <c r="A34" t="s">
        <v>9</v>
      </c>
      <c r="B34" t="s">
        <v>6</v>
      </c>
      <c r="C34" t="s">
        <v>30</v>
      </c>
      <c r="D34" s="10">
        <v>2019</v>
      </c>
      <c r="E34" t="s">
        <v>19</v>
      </c>
      <c r="F34" s="1">
        <v>1804</v>
      </c>
      <c r="G34" s="2">
        <v>225500</v>
      </c>
      <c r="H34" s="3">
        <v>216480</v>
      </c>
      <c r="I34" s="3">
        <v>9020</v>
      </c>
    </row>
    <row r="35" spans="1:9" x14ac:dyDescent="0.3">
      <c r="A35" t="s">
        <v>8</v>
      </c>
      <c r="B35" t="s">
        <v>4</v>
      </c>
      <c r="C35" t="s">
        <v>25</v>
      </c>
      <c r="D35" s="10">
        <v>2019</v>
      </c>
      <c r="E35" t="s">
        <v>19</v>
      </c>
      <c r="F35" s="1">
        <v>2161</v>
      </c>
      <c r="G35" s="2">
        <v>25932</v>
      </c>
      <c r="H35" s="3">
        <v>6483</v>
      </c>
      <c r="I35" s="3">
        <v>19449</v>
      </c>
    </row>
    <row r="36" spans="1:9" x14ac:dyDescent="0.3">
      <c r="A36" t="s">
        <v>2</v>
      </c>
      <c r="B36" t="s">
        <v>4</v>
      </c>
      <c r="C36" t="s">
        <v>23</v>
      </c>
      <c r="D36" s="10">
        <v>2019</v>
      </c>
      <c r="E36" t="s">
        <v>19</v>
      </c>
      <c r="F36" s="1">
        <v>1006</v>
      </c>
      <c r="G36" s="2">
        <v>352100</v>
      </c>
      <c r="H36" s="3">
        <v>261560</v>
      </c>
      <c r="I36" s="3">
        <v>90540</v>
      </c>
    </row>
    <row r="37" spans="1:9" x14ac:dyDescent="0.3">
      <c r="A37" t="s">
        <v>8</v>
      </c>
      <c r="B37" t="s">
        <v>4</v>
      </c>
      <c r="C37" t="s">
        <v>23</v>
      </c>
      <c r="D37" s="10">
        <v>2019</v>
      </c>
      <c r="E37" t="s">
        <v>21</v>
      </c>
      <c r="F37" s="1">
        <v>1545</v>
      </c>
      <c r="G37" s="2">
        <v>18540</v>
      </c>
      <c r="H37" s="3">
        <v>4635</v>
      </c>
      <c r="I37" s="3">
        <v>13905</v>
      </c>
    </row>
    <row r="38" spans="1:9" x14ac:dyDescent="0.3">
      <c r="A38" t="s">
        <v>9</v>
      </c>
      <c r="B38" t="s">
        <v>11</v>
      </c>
      <c r="C38" t="s">
        <v>27</v>
      </c>
      <c r="D38" s="10">
        <v>2019</v>
      </c>
      <c r="E38" t="s">
        <v>21</v>
      </c>
      <c r="F38" s="1">
        <v>2821</v>
      </c>
      <c r="G38" s="2">
        <v>352625</v>
      </c>
      <c r="H38" s="3">
        <v>338520</v>
      </c>
      <c r="I38" s="3">
        <v>14105</v>
      </c>
    </row>
    <row r="39" spans="1:9" x14ac:dyDescent="0.3">
      <c r="A39" t="s">
        <v>9</v>
      </c>
      <c r="B39" t="s">
        <v>3</v>
      </c>
      <c r="C39" t="s">
        <v>29</v>
      </c>
      <c r="D39" s="10">
        <v>2019</v>
      </c>
      <c r="E39" t="s">
        <v>21</v>
      </c>
      <c r="F39" s="1">
        <v>345</v>
      </c>
      <c r="G39" s="2">
        <v>43125</v>
      </c>
      <c r="H39" s="3">
        <v>41400</v>
      </c>
      <c r="I39" s="3">
        <v>1725</v>
      </c>
    </row>
    <row r="40" spans="1:9" x14ac:dyDescent="0.3">
      <c r="A40" t="s">
        <v>10</v>
      </c>
      <c r="B40" t="s">
        <v>3</v>
      </c>
      <c r="C40" t="s">
        <v>30</v>
      </c>
      <c r="D40" s="10">
        <v>2019</v>
      </c>
      <c r="E40" t="s">
        <v>21</v>
      </c>
      <c r="F40" s="1">
        <v>2001</v>
      </c>
      <c r="G40" s="2">
        <v>600300</v>
      </c>
      <c r="H40" s="3">
        <v>500250</v>
      </c>
      <c r="I40" s="3">
        <v>100050</v>
      </c>
    </row>
    <row r="41" spans="1:9" x14ac:dyDescent="0.3">
      <c r="A41" t="s">
        <v>2</v>
      </c>
      <c r="B41" t="s">
        <v>3</v>
      </c>
      <c r="C41" t="s">
        <v>22</v>
      </c>
      <c r="D41" s="8">
        <v>2020</v>
      </c>
      <c r="E41" t="s">
        <v>18</v>
      </c>
      <c r="F41" s="1">
        <v>1515</v>
      </c>
      <c r="G41" s="2">
        <v>235397</v>
      </c>
      <c r="H41" s="3">
        <v>190391</v>
      </c>
      <c r="I41" s="3">
        <v>45006</v>
      </c>
    </row>
    <row r="42" spans="1:9" x14ac:dyDescent="0.3">
      <c r="A42" t="s">
        <v>2</v>
      </c>
      <c r="B42" t="s">
        <v>4</v>
      </c>
      <c r="C42" t="s">
        <v>22</v>
      </c>
      <c r="D42" s="8">
        <v>2020</v>
      </c>
      <c r="E42" t="s">
        <v>18</v>
      </c>
      <c r="F42" s="1">
        <v>849</v>
      </c>
      <c r="G42" s="2">
        <v>498235</v>
      </c>
      <c r="H42" s="3">
        <v>462454</v>
      </c>
      <c r="I42" s="3">
        <v>35781</v>
      </c>
    </row>
    <row r="43" spans="1:9" x14ac:dyDescent="0.3">
      <c r="A43" t="s">
        <v>5</v>
      </c>
      <c r="B43" t="s">
        <v>6</v>
      </c>
      <c r="C43" t="s">
        <v>23</v>
      </c>
      <c r="D43" s="8">
        <v>2020</v>
      </c>
      <c r="E43" t="s">
        <v>18</v>
      </c>
      <c r="F43" s="1">
        <v>2538</v>
      </c>
      <c r="G43" s="2">
        <v>12884</v>
      </c>
      <c r="H43" s="3">
        <v>3761</v>
      </c>
      <c r="I43" s="3">
        <v>9123</v>
      </c>
    </row>
    <row r="44" spans="1:9" x14ac:dyDescent="0.3">
      <c r="A44" t="s">
        <v>5</v>
      </c>
      <c r="B44" t="s">
        <v>4</v>
      </c>
      <c r="C44" t="s">
        <v>23</v>
      </c>
      <c r="D44" s="8">
        <v>2020</v>
      </c>
      <c r="E44" t="s">
        <v>18</v>
      </c>
      <c r="F44" s="1">
        <v>2688</v>
      </c>
      <c r="G44" s="2">
        <v>335621</v>
      </c>
      <c r="H44" s="3">
        <v>324575</v>
      </c>
      <c r="I44" s="3">
        <v>11046</v>
      </c>
    </row>
    <row r="45" spans="1:9" x14ac:dyDescent="0.3">
      <c r="A45" t="s">
        <v>5</v>
      </c>
      <c r="B45" t="s">
        <v>7</v>
      </c>
      <c r="C45" t="s">
        <v>23</v>
      </c>
      <c r="D45" s="8">
        <v>2020</v>
      </c>
      <c r="E45" t="s">
        <v>18</v>
      </c>
      <c r="F45" s="1">
        <v>1348</v>
      </c>
      <c r="G45" s="2">
        <v>8230</v>
      </c>
      <c r="H45" s="3">
        <v>4968</v>
      </c>
      <c r="I45" s="3">
        <v>3262</v>
      </c>
    </row>
    <row r="46" spans="1:9" x14ac:dyDescent="0.3">
      <c r="A46" t="s">
        <v>2</v>
      </c>
      <c r="B46" t="s">
        <v>4</v>
      </c>
      <c r="C46" t="s">
        <v>24</v>
      </c>
      <c r="D46" s="8">
        <v>2020</v>
      </c>
      <c r="E46" t="s">
        <v>18</v>
      </c>
      <c r="F46" s="1">
        <v>2035</v>
      </c>
      <c r="G46" s="2">
        <v>35388</v>
      </c>
      <c r="H46" s="3">
        <v>15708</v>
      </c>
      <c r="I46" s="3">
        <v>19680</v>
      </c>
    </row>
    <row r="47" spans="1:9" x14ac:dyDescent="0.3">
      <c r="A47" t="s">
        <v>5</v>
      </c>
      <c r="B47" t="s">
        <v>4</v>
      </c>
      <c r="C47" t="s">
        <v>25</v>
      </c>
      <c r="D47" s="8">
        <v>2020</v>
      </c>
      <c r="E47" t="s">
        <v>18</v>
      </c>
      <c r="F47" s="1">
        <v>2609</v>
      </c>
      <c r="G47" s="2">
        <v>385904</v>
      </c>
      <c r="H47" s="3">
        <v>341282</v>
      </c>
      <c r="I47" s="3">
        <v>44622</v>
      </c>
    </row>
    <row r="48" spans="1:9" x14ac:dyDescent="0.3">
      <c r="A48" t="s">
        <v>8</v>
      </c>
      <c r="B48" t="s">
        <v>3</v>
      </c>
      <c r="C48" t="s">
        <v>23</v>
      </c>
      <c r="D48" s="8">
        <v>2020</v>
      </c>
      <c r="E48" t="s">
        <v>18</v>
      </c>
      <c r="F48" s="1">
        <v>1244</v>
      </c>
      <c r="G48" s="2">
        <v>238213</v>
      </c>
      <c r="H48" s="3">
        <v>227508</v>
      </c>
      <c r="I48" s="3">
        <v>10705</v>
      </c>
    </row>
    <row r="49" spans="1:9" x14ac:dyDescent="0.3">
      <c r="A49" t="s">
        <v>2</v>
      </c>
      <c r="B49" t="s">
        <v>6</v>
      </c>
      <c r="C49" t="s">
        <v>23</v>
      </c>
      <c r="D49" s="8">
        <v>2020</v>
      </c>
      <c r="E49" t="s">
        <v>18</v>
      </c>
      <c r="F49" s="1">
        <v>927</v>
      </c>
      <c r="G49" s="2">
        <v>470024</v>
      </c>
      <c r="H49" s="3">
        <v>436236</v>
      </c>
      <c r="I49" s="3">
        <v>33788</v>
      </c>
    </row>
    <row r="50" spans="1:9" x14ac:dyDescent="0.3">
      <c r="A50" t="s">
        <v>8</v>
      </c>
      <c r="B50" t="s">
        <v>4</v>
      </c>
      <c r="C50" t="s">
        <v>32</v>
      </c>
      <c r="D50" s="8">
        <v>2020</v>
      </c>
      <c r="E50" t="s">
        <v>19</v>
      </c>
      <c r="F50" s="1">
        <v>1697</v>
      </c>
      <c r="G50" s="2">
        <v>364710</v>
      </c>
      <c r="H50" s="3">
        <v>346721</v>
      </c>
      <c r="I50" s="3">
        <v>17989</v>
      </c>
    </row>
    <row r="51" spans="1:9" x14ac:dyDescent="0.3">
      <c r="A51" t="s">
        <v>5</v>
      </c>
      <c r="B51" t="s">
        <v>7</v>
      </c>
      <c r="C51" t="s">
        <v>32</v>
      </c>
      <c r="D51" s="8">
        <v>2020</v>
      </c>
      <c r="E51" t="s">
        <v>19</v>
      </c>
      <c r="F51" s="1">
        <v>1562</v>
      </c>
      <c r="G51" s="2">
        <v>474693</v>
      </c>
      <c r="H51" s="3">
        <v>448081</v>
      </c>
      <c r="I51" s="3">
        <v>26612</v>
      </c>
    </row>
    <row r="52" spans="1:9" x14ac:dyDescent="0.3">
      <c r="A52" t="s">
        <v>9</v>
      </c>
      <c r="B52" t="s">
        <v>3</v>
      </c>
      <c r="C52" t="s">
        <v>26</v>
      </c>
      <c r="D52" s="8">
        <v>2020</v>
      </c>
      <c r="E52" t="s">
        <v>19</v>
      </c>
      <c r="F52" s="1">
        <v>924</v>
      </c>
      <c r="G52" s="2">
        <v>445691</v>
      </c>
      <c r="H52" s="3">
        <v>396466</v>
      </c>
      <c r="I52" s="3">
        <v>49225</v>
      </c>
    </row>
    <row r="53" spans="1:9" x14ac:dyDescent="0.3">
      <c r="A53" t="s">
        <v>10</v>
      </c>
      <c r="B53" t="s">
        <v>7</v>
      </c>
      <c r="C53" t="s">
        <v>33</v>
      </c>
      <c r="D53" s="8">
        <v>2020</v>
      </c>
      <c r="E53" t="s">
        <v>19</v>
      </c>
      <c r="F53" s="1">
        <v>325</v>
      </c>
      <c r="G53" s="2">
        <v>272689</v>
      </c>
      <c r="H53" s="3">
        <v>257986</v>
      </c>
      <c r="I53" s="3">
        <v>14703</v>
      </c>
    </row>
    <row r="54" spans="1:9" x14ac:dyDescent="0.3">
      <c r="A54" t="s">
        <v>2</v>
      </c>
      <c r="B54" t="s">
        <v>4</v>
      </c>
      <c r="C54" t="s">
        <v>28</v>
      </c>
      <c r="D54" s="8">
        <v>2020</v>
      </c>
      <c r="E54" t="s">
        <v>21</v>
      </c>
      <c r="F54" s="1">
        <v>2520</v>
      </c>
      <c r="G54" s="2">
        <v>186514</v>
      </c>
      <c r="H54" s="3">
        <v>172481</v>
      </c>
      <c r="I54" s="3">
        <v>14033</v>
      </c>
    </row>
    <row r="55" spans="1:9" x14ac:dyDescent="0.3">
      <c r="A55" t="s">
        <v>9</v>
      </c>
      <c r="B55" t="s">
        <v>3</v>
      </c>
      <c r="C55" t="s">
        <v>29</v>
      </c>
      <c r="D55" s="8">
        <v>2020</v>
      </c>
      <c r="E55" t="s">
        <v>19</v>
      </c>
      <c r="F55" s="1">
        <v>2521</v>
      </c>
      <c r="G55" s="2">
        <v>141009</v>
      </c>
      <c r="H55" s="3">
        <v>129977</v>
      </c>
      <c r="I55" s="3">
        <v>11032</v>
      </c>
    </row>
    <row r="56" spans="1:9" x14ac:dyDescent="0.3">
      <c r="A56" t="s">
        <v>5</v>
      </c>
      <c r="B56" t="s">
        <v>11</v>
      </c>
      <c r="C56" t="s">
        <v>24</v>
      </c>
      <c r="D56" s="8">
        <v>2020</v>
      </c>
      <c r="E56" t="s">
        <v>19</v>
      </c>
      <c r="F56" s="1">
        <v>2801</v>
      </c>
      <c r="G56" s="2">
        <v>571983</v>
      </c>
      <c r="H56" s="3">
        <v>545833</v>
      </c>
      <c r="I56" s="3">
        <v>26150</v>
      </c>
    </row>
    <row r="57" spans="1:9" x14ac:dyDescent="0.3">
      <c r="A57" t="s">
        <v>2</v>
      </c>
      <c r="B57" t="s">
        <v>3</v>
      </c>
      <c r="C57" t="s">
        <v>30</v>
      </c>
      <c r="D57" s="8">
        <v>2020</v>
      </c>
      <c r="E57" t="s">
        <v>19</v>
      </c>
      <c r="F57" s="1">
        <v>1196</v>
      </c>
      <c r="G57" s="2">
        <v>454247</v>
      </c>
      <c r="H57" s="3">
        <v>427025</v>
      </c>
      <c r="I57" s="3">
        <v>27222</v>
      </c>
    </row>
    <row r="58" spans="1:9" x14ac:dyDescent="0.3">
      <c r="A58" t="s">
        <v>5</v>
      </c>
      <c r="B58" t="s">
        <v>7</v>
      </c>
      <c r="C58" t="s">
        <v>30</v>
      </c>
      <c r="D58" s="8">
        <v>2020</v>
      </c>
      <c r="E58" t="s">
        <v>19</v>
      </c>
      <c r="F58" s="1">
        <v>1639</v>
      </c>
      <c r="G58" s="2">
        <v>239049</v>
      </c>
      <c r="H58" s="3">
        <v>207784</v>
      </c>
      <c r="I58" s="3">
        <v>31265</v>
      </c>
    </row>
    <row r="59" spans="1:9" x14ac:dyDescent="0.3">
      <c r="A59" t="s">
        <v>8</v>
      </c>
      <c r="B59" t="s">
        <v>3</v>
      </c>
      <c r="C59" t="s">
        <v>23</v>
      </c>
      <c r="D59" s="8">
        <v>2020</v>
      </c>
      <c r="E59" t="s">
        <v>20</v>
      </c>
      <c r="F59" s="1">
        <v>796</v>
      </c>
      <c r="G59" s="2">
        <v>208430</v>
      </c>
      <c r="H59" s="3">
        <v>169378</v>
      </c>
      <c r="I59" s="3">
        <v>39052</v>
      </c>
    </row>
    <row r="60" spans="1:9" x14ac:dyDescent="0.3">
      <c r="A60" t="s">
        <v>2</v>
      </c>
      <c r="B60" t="s">
        <v>4</v>
      </c>
      <c r="C60" t="s">
        <v>23</v>
      </c>
      <c r="D60" s="8">
        <v>2020</v>
      </c>
      <c r="E60" t="s">
        <v>20</v>
      </c>
      <c r="F60" s="1">
        <v>2288</v>
      </c>
      <c r="G60" s="2">
        <v>199069</v>
      </c>
      <c r="H60" s="3">
        <v>180772</v>
      </c>
      <c r="I60" s="3">
        <v>18297</v>
      </c>
    </row>
    <row r="61" spans="1:9" x14ac:dyDescent="0.3">
      <c r="A61" t="s">
        <v>8</v>
      </c>
      <c r="B61" t="s">
        <v>4</v>
      </c>
      <c r="C61" t="s">
        <v>26</v>
      </c>
      <c r="D61" s="8">
        <v>2020</v>
      </c>
      <c r="E61" t="s">
        <v>19</v>
      </c>
      <c r="F61" s="1">
        <v>2470</v>
      </c>
      <c r="G61" s="2">
        <v>18780</v>
      </c>
      <c r="H61" s="3">
        <v>8529</v>
      </c>
      <c r="I61" s="3">
        <v>10251</v>
      </c>
    </row>
    <row r="62" spans="1:9" x14ac:dyDescent="0.3">
      <c r="A62" t="s">
        <v>2</v>
      </c>
      <c r="B62" t="s">
        <v>7</v>
      </c>
      <c r="C62" t="s">
        <v>27</v>
      </c>
      <c r="D62" s="8">
        <v>2020</v>
      </c>
      <c r="E62" t="s">
        <v>20</v>
      </c>
      <c r="F62" s="1">
        <v>594</v>
      </c>
      <c r="G62" s="2">
        <v>340608</v>
      </c>
      <c r="H62" s="3">
        <v>326590</v>
      </c>
      <c r="I62" s="3">
        <v>14018</v>
      </c>
    </row>
    <row r="63" spans="1:9" x14ac:dyDescent="0.3">
      <c r="A63" t="s">
        <v>5</v>
      </c>
      <c r="B63" t="s">
        <v>6</v>
      </c>
      <c r="C63" t="s">
        <v>28</v>
      </c>
      <c r="D63" s="8">
        <v>2020</v>
      </c>
      <c r="E63" t="s">
        <v>20</v>
      </c>
      <c r="F63" s="1">
        <v>1006</v>
      </c>
      <c r="G63" s="2">
        <v>256117</v>
      </c>
      <c r="H63" s="3">
        <v>224192</v>
      </c>
      <c r="I63" s="3">
        <v>31925</v>
      </c>
    </row>
    <row r="64" spans="1:9" x14ac:dyDescent="0.3">
      <c r="A64" t="s">
        <v>10</v>
      </c>
      <c r="B64" t="s">
        <v>7</v>
      </c>
      <c r="C64" t="s">
        <v>28</v>
      </c>
      <c r="D64" s="8">
        <v>2020</v>
      </c>
      <c r="E64" t="s">
        <v>18</v>
      </c>
      <c r="F64" s="1">
        <v>1665</v>
      </c>
      <c r="G64" s="2">
        <v>296065</v>
      </c>
      <c r="H64" s="3">
        <v>248102</v>
      </c>
      <c r="I64" s="3">
        <v>47963</v>
      </c>
    </row>
    <row r="65" spans="1:9" x14ac:dyDescent="0.3">
      <c r="A65" t="s">
        <v>5</v>
      </c>
      <c r="B65" t="s">
        <v>7</v>
      </c>
      <c r="C65" t="s">
        <v>28</v>
      </c>
      <c r="D65" s="8">
        <v>2020</v>
      </c>
      <c r="E65" t="s">
        <v>18</v>
      </c>
      <c r="F65" s="1">
        <v>1067</v>
      </c>
      <c r="G65" s="2">
        <v>65919</v>
      </c>
      <c r="H65" s="3">
        <v>51558</v>
      </c>
      <c r="I65" s="3">
        <v>14361</v>
      </c>
    </row>
    <row r="66" spans="1:9" x14ac:dyDescent="0.3">
      <c r="A66" t="s">
        <v>2</v>
      </c>
      <c r="B66" t="s">
        <v>11</v>
      </c>
      <c r="C66" t="s">
        <v>29</v>
      </c>
      <c r="D66" s="8">
        <v>2020</v>
      </c>
      <c r="E66" t="s">
        <v>18</v>
      </c>
      <c r="F66" s="1">
        <v>961</v>
      </c>
      <c r="G66" s="2">
        <v>420234</v>
      </c>
      <c r="H66" s="3">
        <v>385341</v>
      </c>
      <c r="I66" s="3">
        <v>34893</v>
      </c>
    </row>
    <row r="67" spans="1:9" x14ac:dyDescent="0.3">
      <c r="A67" t="s">
        <v>2</v>
      </c>
      <c r="B67" t="s">
        <v>3</v>
      </c>
      <c r="C67" t="s">
        <v>31</v>
      </c>
      <c r="D67" s="8">
        <v>2020</v>
      </c>
      <c r="E67" t="s">
        <v>18</v>
      </c>
      <c r="F67" s="1">
        <v>1794</v>
      </c>
      <c r="G67" s="2">
        <v>365244</v>
      </c>
      <c r="H67" s="3">
        <v>339375</v>
      </c>
      <c r="I67" s="3">
        <v>25869</v>
      </c>
    </row>
    <row r="68" spans="1:9" x14ac:dyDescent="0.3">
      <c r="A68" t="s">
        <v>8</v>
      </c>
      <c r="B68" t="s">
        <v>11</v>
      </c>
      <c r="C68" t="s">
        <v>31</v>
      </c>
      <c r="D68" s="8">
        <v>2020</v>
      </c>
      <c r="E68" t="s">
        <v>18</v>
      </c>
      <c r="F68" s="1">
        <v>750</v>
      </c>
      <c r="G68" s="2">
        <v>100514</v>
      </c>
      <c r="H68" s="3">
        <v>84518</v>
      </c>
      <c r="I68" s="3">
        <v>15996</v>
      </c>
    </row>
    <row r="69" spans="1:9" x14ac:dyDescent="0.3">
      <c r="A69" t="s">
        <v>5</v>
      </c>
      <c r="B69" t="s">
        <v>3</v>
      </c>
      <c r="C69" t="s">
        <v>24</v>
      </c>
      <c r="D69" s="10">
        <v>2020</v>
      </c>
      <c r="E69" t="s">
        <v>21</v>
      </c>
      <c r="F69" s="1">
        <v>2308</v>
      </c>
      <c r="G69" s="2">
        <v>261601</v>
      </c>
      <c r="H69" s="3">
        <v>249313</v>
      </c>
      <c r="I69" s="3">
        <v>12288</v>
      </c>
    </row>
    <row r="70" spans="1:9" x14ac:dyDescent="0.3">
      <c r="A70" t="s">
        <v>2</v>
      </c>
      <c r="B70" t="s">
        <v>3</v>
      </c>
      <c r="C70" t="s">
        <v>24</v>
      </c>
      <c r="D70" s="8">
        <v>2020</v>
      </c>
      <c r="E70" t="s">
        <v>21</v>
      </c>
      <c r="F70" s="1">
        <v>2411</v>
      </c>
      <c r="G70" s="2">
        <v>543901</v>
      </c>
      <c r="H70" s="3">
        <v>509187</v>
      </c>
      <c r="I70" s="3">
        <v>34714</v>
      </c>
    </row>
    <row r="71" spans="1:9" x14ac:dyDescent="0.3">
      <c r="A71" t="s">
        <v>2</v>
      </c>
      <c r="B71" t="s">
        <v>4</v>
      </c>
      <c r="C71" t="s">
        <v>24</v>
      </c>
      <c r="D71" s="8">
        <v>2020</v>
      </c>
      <c r="E71" t="s">
        <v>21</v>
      </c>
      <c r="F71" s="1">
        <v>1254</v>
      </c>
      <c r="G71" s="2">
        <v>132821</v>
      </c>
      <c r="H71" s="3">
        <v>90636</v>
      </c>
      <c r="I71" s="3">
        <v>42185</v>
      </c>
    </row>
    <row r="72" spans="1:9" x14ac:dyDescent="0.3">
      <c r="A72" t="s">
        <v>2</v>
      </c>
      <c r="B72" t="s">
        <v>7</v>
      </c>
      <c r="C72" t="s">
        <v>22</v>
      </c>
      <c r="D72" s="8">
        <v>2020</v>
      </c>
      <c r="E72" t="s">
        <v>19</v>
      </c>
      <c r="F72" s="1">
        <v>1281</v>
      </c>
      <c r="G72" s="2">
        <v>586235</v>
      </c>
      <c r="H72" s="3">
        <v>560856</v>
      </c>
      <c r="I72" s="3">
        <v>25379</v>
      </c>
    </row>
    <row r="73" spans="1:9" x14ac:dyDescent="0.3">
      <c r="A73" t="s">
        <v>9</v>
      </c>
      <c r="B73" t="s">
        <v>6</v>
      </c>
      <c r="C73" t="s">
        <v>30</v>
      </c>
      <c r="D73" s="8">
        <v>2020</v>
      </c>
      <c r="E73" t="s">
        <v>19</v>
      </c>
      <c r="F73" s="1">
        <v>2336</v>
      </c>
      <c r="G73" s="2">
        <v>587418</v>
      </c>
      <c r="H73" s="3">
        <v>567509</v>
      </c>
      <c r="I73" s="3">
        <v>19909</v>
      </c>
    </row>
    <row r="74" spans="1:9" x14ac:dyDescent="0.3">
      <c r="A74" t="s">
        <v>8</v>
      </c>
      <c r="B74" t="s">
        <v>4</v>
      </c>
      <c r="C74" t="s">
        <v>25</v>
      </c>
      <c r="D74" s="8">
        <v>2020</v>
      </c>
      <c r="E74" t="s">
        <v>19</v>
      </c>
      <c r="F74" s="1">
        <v>2296</v>
      </c>
      <c r="G74" s="2">
        <v>584485</v>
      </c>
      <c r="H74" s="3">
        <v>554971</v>
      </c>
      <c r="I74" s="3">
        <v>29514</v>
      </c>
    </row>
    <row r="75" spans="1:9" x14ac:dyDescent="0.3">
      <c r="A75" t="s">
        <v>2</v>
      </c>
      <c r="B75" t="s">
        <v>4</v>
      </c>
      <c r="C75" t="s">
        <v>23</v>
      </c>
      <c r="D75" s="8">
        <v>2020</v>
      </c>
      <c r="E75" t="s">
        <v>19</v>
      </c>
      <c r="F75" s="1">
        <v>1825</v>
      </c>
      <c r="G75" s="2">
        <v>273478</v>
      </c>
      <c r="H75" s="3">
        <v>262918</v>
      </c>
      <c r="I75" s="3">
        <v>10560</v>
      </c>
    </row>
    <row r="76" spans="1:9" x14ac:dyDescent="0.3">
      <c r="A76" t="s">
        <v>8</v>
      </c>
      <c r="B76" t="s">
        <v>4</v>
      </c>
      <c r="C76" t="s">
        <v>23</v>
      </c>
      <c r="D76" s="8">
        <v>2020</v>
      </c>
      <c r="E76" t="s">
        <v>21</v>
      </c>
      <c r="F76" s="1">
        <v>2593</v>
      </c>
      <c r="G76" s="2">
        <v>437121</v>
      </c>
      <c r="H76" s="3">
        <v>390859</v>
      </c>
      <c r="I76" s="3">
        <v>46262</v>
      </c>
    </row>
    <row r="77" spans="1:9" x14ac:dyDescent="0.3">
      <c r="A77" t="s">
        <v>9</v>
      </c>
      <c r="B77" t="s">
        <v>11</v>
      </c>
      <c r="C77" t="s">
        <v>27</v>
      </c>
      <c r="D77" s="8">
        <v>2020</v>
      </c>
      <c r="E77" t="s">
        <v>21</v>
      </c>
      <c r="F77" s="1">
        <v>1650</v>
      </c>
      <c r="G77" s="2">
        <v>405432</v>
      </c>
      <c r="H77" s="3">
        <v>362730</v>
      </c>
      <c r="I77" s="3">
        <v>42702</v>
      </c>
    </row>
    <row r="78" spans="1:9" x14ac:dyDescent="0.3">
      <c r="A78" t="s">
        <v>9</v>
      </c>
      <c r="B78" t="s">
        <v>3</v>
      </c>
      <c r="C78" t="s">
        <v>29</v>
      </c>
      <c r="D78" s="8">
        <v>2020</v>
      </c>
      <c r="E78" t="s">
        <v>21</v>
      </c>
      <c r="F78" s="1">
        <v>405</v>
      </c>
      <c r="G78" s="2">
        <v>320885</v>
      </c>
      <c r="H78" s="3">
        <v>277606</v>
      </c>
      <c r="I78" s="3">
        <v>43279</v>
      </c>
    </row>
    <row r="79" spans="1:9" x14ac:dyDescent="0.3">
      <c r="A79" t="s">
        <v>10</v>
      </c>
      <c r="B79" t="s">
        <v>3</v>
      </c>
      <c r="C79" t="s">
        <v>30</v>
      </c>
      <c r="D79" s="8">
        <v>2020</v>
      </c>
      <c r="E79" t="s">
        <v>21</v>
      </c>
      <c r="F79" s="1">
        <v>2534</v>
      </c>
      <c r="G79" s="2">
        <v>204898</v>
      </c>
      <c r="H79" s="3">
        <v>191128</v>
      </c>
      <c r="I79" s="3">
        <v>13770</v>
      </c>
    </row>
    <row r="80" spans="1:9" x14ac:dyDescent="0.3">
      <c r="A80" t="s">
        <v>2</v>
      </c>
      <c r="B80" t="s">
        <v>3</v>
      </c>
      <c r="C80" t="s">
        <v>22</v>
      </c>
      <c r="D80" s="8">
        <v>2021</v>
      </c>
      <c r="E80" t="s">
        <v>18</v>
      </c>
      <c r="F80" s="1">
        <v>2163</v>
      </c>
      <c r="G80" s="2">
        <v>690647</v>
      </c>
      <c r="H80" s="3">
        <v>376752</v>
      </c>
      <c r="I80" s="3">
        <v>313895</v>
      </c>
    </row>
    <row r="81" spans="1:9" x14ac:dyDescent="0.3">
      <c r="A81" t="s">
        <v>2</v>
      </c>
      <c r="B81" t="s">
        <v>4</v>
      </c>
      <c r="C81" t="s">
        <v>22</v>
      </c>
      <c r="D81" s="8">
        <v>2021</v>
      </c>
      <c r="E81" t="s">
        <v>18</v>
      </c>
      <c r="F81" s="1">
        <v>1837</v>
      </c>
      <c r="G81" s="2">
        <v>784202</v>
      </c>
      <c r="H81" s="3">
        <v>388966</v>
      </c>
      <c r="I81" s="3">
        <v>395236</v>
      </c>
    </row>
    <row r="82" spans="1:9" x14ac:dyDescent="0.3">
      <c r="A82" t="s">
        <v>5</v>
      </c>
      <c r="B82" t="s">
        <v>6</v>
      </c>
      <c r="C82" t="s">
        <v>23</v>
      </c>
      <c r="D82" s="8">
        <v>2021</v>
      </c>
      <c r="E82" t="s">
        <v>18</v>
      </c>
      <c r="F82" s="1">
        <v>1766</v>
      </c>
      <c r="G82" s="2">
        <v>935148</v>
      </c>
      <c r="H82" s="3">
        <v>336115</v>
      </c>
      <c r="I82" s="3">
        <v>599033</v>
      </c>
    </row>
    <row r="83" spans="1:9" x14ac:dyDescent="0.3">
      <c r="A83" t="s">
        <v>5</v>
      </c>
      <c r="B83" t="s">
        <v>4</v>
      </c>
      <c r="C83" t="s">
        <v>23</v>
      </c>
      <c r="D83" s="8">
        <v>2021</v>
      </c>
      <c r="E83" t="s">
        <v>18</v>
      </c>
      <c r="F83" s="1">
        <v>2499</v>
      </c>
      <c r="G83" s="2">
        <v>667519</v>
      </c>
      <c r="H83" s="3">
        <v>406983</v>
      </c>
      <c r="I83" s="3">
        <v>260536</v>
      </c>
    </row>
    <row r="84" spans="1:9" x14ac:dyDescent="0.3">
      <c r="A84" t="s">
        <v>5</v>
      </c>
      <c r="B84" t="s">
        <v>7</v>
      </c>
      <c r="C84" t="s">
        <v>23</v>
      </c>
      <c r="D84" s="8">
        <v>2021</v>
      </c>
      <c r="E84" t="s">
        <v>18</v>
      </c>
      <c r="F84" s="1">
        <v>550</v>
      </c>
      <c r="G84" s="2">
        <v>831101</v>
      </c>
      <c r="H84" s="3">
        <v>334859</v>
      </c>
      <c r="I84" s="3">
        <v>496242</v>
      </c>
    </row>
    <row r="85" spans="1:9" x14ac:dyDescent="0.3">
      <c r="A85" t="s">
        <v>2</v>
      </c>
      <c r="B85" t="s">
        <v>4</v>
      </c>
      <c r="C85" t="s">
        <v>24</v>
      </c>
      <c r="D85" s="8">
        <v>2021</v>
      </c>
      <c r="E85" t="s">
        <v>18</v>
      </c>
      <c r="F85" s="1">
        <v>2548</v>
      </c>
      <c r="G85" s="2">
        <v>844424</v>
      </c>
      <c r="H85" s="3">
        <v>267781</v>
      </c>
      <c r="I85" s="3">
        <v>576643</v>
      </c>
    </row>
    <row r="86" spans="1:9" x14ac:dyDescent="0.3">
      <c r="A86" t="s">
        <v>5</v>
      </c>
      <c r="B86" t="s">
        <v>4</v>
      </c>
      <c r="C86" t="s">
        <v>25</v>
      </c>
      <c r="D86" s="8">
        <v>2021</v>
      </c>
      <c r="E86" t="s">
        <v>18</v>
      </c>
      <c r="F86" s="1">
        <v>2664</v>
      </c>
      <c r="G86" s="2">
        <v>694545</v>
      </c>
      <c r="H86" s="3">
        <v>333114</v>
      </c>
      <c r="I86" s="3">
        <v>361431</v>
      </c>
    </row>
    <row r="87" spans="1:9" x14ac:dyDescent="0.3">
      <c r="A87" t="s">
        <v>8</v>
      </c>
      <c r="B87" t="s">
        <v>3</v>
      </c>
      <c r="C87" t="s">
        <v>23</v>
      </c>
      <c r="D87" s="8">
        <v>2021</v>
      </c>
      <c r="E87" t="s">
        <v>18</v>
      </c>
      <c r="F87" s="1">
        <v>2539</v>
      </c>
      <c r="G87" s="2">
        <v>785663</v>
      </c>
      <c r="H87" s="3">
        <v>411247</v>
      </c>
      <c r="I87" s="3">
        <v>374416</v>
      </c>
    </row>
    <row r="88" spans="1:9" x14ac:dyDescent="0.3">
      <c r="A88" t="s">
        <v>2</v>
      </c>
      <c r="B88" t="s">
        <v>6</v>
      </c>
      <c r="C88" t="s">
        <v>23</v>
      </c>
      <c r="D88" s="8">
        <v>2021</v>
      </c>
      <c r="E88" t="s">
        <v>18</v>
      </c>
      <c r="F88" s="1">
        <v>2418</v>
      </c>
      <c r="G88" s="2">
        <v>694181</v>
      </c>
      <c r="H88" s="3">
        <v>356401</v>
      </c>
      <c r="I88" s="3">
        <v>337780</v>
      </c>
    </row>
    <row r="89" spans="1:9" x14ac:dyDescent="0.3">
      <c r="A89" t="s">
        <v>8</v>
      </c>
      <c r="B89" t="s">
        <v>4</v>
      </c>
      <c r="C89" t="s">
        <v>32</v>
      </c>
      <c r="D89" s="8">
        <v>2021</v>
      </c>
      <c r="E89" t="s">
        <v>19</v>
      </c>
      <c r="F89" s="1">
        <v>299</v>
      </c>
      <c r="G89" s="2">
        <v>899428</v>
      </c>
      <c r="H89" s="3">
        <v>322480</v>
      </c>
      <c r="I89" s="3">
        <v>576948</v>
      </c>
    </row>
    <row r="90" spans="1:9" x14ac:dyDescent="0.3">
      <c r="A90" t="s">
        <v>5</v>
      </c>
      <c r="B90" t="s">
        <v>7</v>
      </c>
      <c r="C90" t="s">
        <v>32</v>
      </c>
      <c r="D90" s="8">
        <v>2021</v>
      </c>
      <c r="E90" t="s">
        <v>19</v>
      </c>
      <c r="F90" s="1">
        <v>1316</v>
      </c>
      <c r="G90" s="2">
        <v>835432</v>
      </c>
      <c r="H90" s="3">
        <v>384102</v>
      </c>
      <c r="I90" s="3">
        <v>451330</v>
      </c>
    </row>
    <row r="91" spans="1:9" x14ac:dyDescent="0.3">
      <c r="A91" t="s">
        <v>9</v>
      </c>
      <c r="B91" t="s">
        <v>3</v>
      </c>
      <c r="C91" t="s">
        <v>26</v>
      </c>
      <c r="D91" s="8">
        <v>2021</v>
      </c>
      <c r="E91" t="s">
        <v>19</v>
      </c>
      <c r="F91" s="1">
        <v>672</v>
      </c>
      <c r="G91" s="2">
        <v>980856</v>
      </c>
      <c r="H91" s="3">
        <v>351909</v>
      </c>
      <c r="I91" s="3">
        <v>628947</v>
      </c>
    </row>
    <row r="92" spans="1:9" x14ac:dyDescent="0.3">
      <c r="A92" t="s">
        <v>10</v>
      </c>
      <c r="B92" t="s">
        <v>7</v>
      </c>
      <c r="C92" t="s">
        <v>33</v>
      </c>
      <c r="D92" s="8">
        <v>2021</v>
      </c>
      <c r="E92" t="s">
        <v>19</v>
      </c>
      <c r="F92" s="1">
        <v>907</v>
      </c>
      <c r="G92" s="2">
        <v>970951</v>
      </c>
      <c r="H92" s="3">
        <v>372432</v>
      </c>
      <c r="I92" s="3">
        <v>598519</v>
      </c>
    </row>
    <row r="93" spans="1:9" x14ac:dyDescent="0.3">
      <c r="A93" t="s">
        <v>2</v>
      </c>
      <c r="B93" t="s">
        <v>4</v>
      </c>
      <c r="C93" t="s">
        <v>28</v>
      </c>
      <c r="D93" s="8">
        <v>2021</v>
      </c>
      <c r="E93" t="s">
        <v>21</v>
      </c>
      <c r="F93" s="1">
        <v>2497</v>
      </c>
      <c r="G93" s="2">
        <v>691104</v>
      </c>
      <c r="H93" s="3">
        <v>299304</v>
      </c>
      <c r="I93" s="3">
        <v>391800</v>
      </c>
    </row>
    <row r="94" spans="1:9" x14ac:dyDescent="0.3">
      <c r="A94" t="s">
        <v>9</v>
      </c>
      <c r="B94" t="s">
        <v>3</v>
      </c>
      <c r="C94" t="s">
        <v>29</v>
      </c>
      <c r="D94" s="8">
        <v>2021</v>
      </c>
      <c r="E94" t="s">
        <v>19</v>
      </c>
      <c r="F94" s="1">
        <v>704</v>
      </c>
      <c r="G94" s="2">
        <v>741815</v>
      </c>
      <c r="H94" s="3">
        <v>269500</v>
      </c>
      <c r="I94" s="3">
        <v>472315</v>
      </c>
    </row>
    <row r="95" spans="1:9" x14ac:dyDescent="0.3">
      <c r="A95" t="s">
        <v>5</v>
      </c>
      <c r="B95" t="s">
        <v>11</v>
      </c>
      <c r="C95" t="s">
        <v>24</v>
      </c>
      <c r="D95" s="8">
        <v>2021</v>
      </c>
      <c r="E95" t="s">
        <v>19</v>
      </c>
      <c r="F95" s="1">
        <v>543</v>
      </c>
      <c r="G95" s="2">
        <v>882220</v>
      </c>
      <c r="H95" s="3">
        <v>313684</v>
      </c>
      <c r="I95" s="3">
        <v>568536</v>
      </c>
    </row>
    <row r="96" spans="1:9" x14ac:dyDescent="0.3">
      <c r="A96" t="s">
        <v>2</v>
      </c>
      <c r="B96" t="s">
        <v>3</v>
      </c>
      <c r="C96" t="s">
        <v>30</v>
      </c>
      <c r="D96" s="8">
        <v>2021</v>
      </c>
      <c r="E96" t="s">
        <v>19</v>
      </c>
      <c r="F96" s="1">
        <v>834</v>
      </c>
      <c r="G96" s="2">
        <v>758896</v>
      </c>
      <c r="H96" s="3">
        <v>349903</v>
      </c>
      <c r="I96" s="3">
        <v>408993</v>
      </c>
    </row>
    <row r="97" spans="1:9" x14ac:dyDescent="0.3">
      <c r="A97" t="s">
        <v>5</v>
      </c>
      <c r="B97" t="s">
        <v>7</v>
      </c>
      <c r="C97" t="s">
        <v>30</v>
      </c>
      <c r="D97" s="8">
        <v>2021</v>
      </c>
      <c r="E97" t="s">
        <v>19</v>
      </c>
      <c r="F97" s="1">
        <v>1270</v>
      </c>
      <c r="G97" s="2">
        <v>856636</v>
      </c>
      <c r="H97" s="3">
        <v>350710</v>
      </c>
      <c r="I97" s="3">
        <v>505926</v>
      </c>
    </row>
    <row r="98" spans="1:9" x14ac:dyDescent="0.3">
      <c r="A98" t="s">
        <v>8</v>
      </c>
      <c r="B98" t="s">
        <v>3</v>
      </c>
      <c r="C98" t="s">
        <v>23</v>
      </c>
      <c r="D98" s="8">
        <v>2021</v>
      </c>
      <c r="E98" t="s">
        <v>20</v>
      </c>
      <c r="F98" s="1">
        <v>1109</v>
      </c>
      <c r="G98" s="2">
        <v>881527</v>
      </c>
      <c r="H98" s="3">
        <v>298588</v>
      </c>
      <c r="I98" s="3">
        <v>582939</v>
      </c>
    </row>
    <row r="99" spans="1:9" x14ac:dyDescent="0.3">
      <c r="A99" t="s">
        <v>2</v>
      </c>
      <c r="B99" t="s">
        <v>4</v>
      </c>
      <c r="C99" t="s">
        <v>23</v>
      </c>
      <c r="D99" s="8">
        <v>2021</v>
      </c>
      <c r="E99" t="s">
        <v>20</v>
      </c>
      <c r="F99" s="1">
        <v>1558</v>
      </c>
      <c r="G99" s="2">
        <v>680175</v>
      </c>
      <c r="H99" s="3">
        <v>435745</v>
      </c>
      <c r="I99" s="3">
        <v>244430</v>
      </c>
    </row>
    <row r="100" spans="1:9" x14ac:dyDescent="0.3">
      <c r="A100" t="s">
        <v>8</v>
      </c>
      <c r="B100" t="s">
        <v>4</v>
      </c>
      <c r="C100" t="s">
        <v>26</v>
      </c>
      <c r="D100" s="8">
        <v>2021</v>
      </c>
      <c r="E100" t="s">
        <v>19</v>
      </c>
      <c r="F100" s="1">
        <v>1969</v>
      </c>
      <c r="G100" s="2">
        <v>850492</v>
      </c>
      <c r="H100" s="3">
        <v>407464</v>
      </c>
      <c r="I100" s="3">
        <v>443028</v>
      </c>
    </row>
    <row r="101" spans="1:9" x14ac:dyDescent="0.3">
      <c r="A101" t="s">
        <v>2</v>
      </c>
      <c r="B101" t="s">
        <v>7</v>
      </c>
      <c r="C101" t="s">
        <v>27</v>
      </c>
      <c r="D101" s="8">
        <v>2021</v>
      </c>
      <c r="E101" t="s">
        <v>20</v>
      </c>
      <c r="F101" s="1">
        <v>796</v>
      </c>
      <c r="G101" s="2">
        <v>796130</v>
      </c>
      <c r="H101" s="3">
        <v>273297</v>
      </c>
      <c r="I101" s="3">
        <v>522833</v>
      </c>
    </row>
    <row r="102" spans="1:9" x14ac:dyDescent="0.3">
      <c r="A102" t="s">
        <v>5</v>
      </c>
      <c r="B102" t="s">
        <v>6</v>
      </c>
      <c r="C102" t="s">
        <v>28</v>
      </c>
      <c r="D102" s="8">
        <v>2021</v>
      </c>
      <c r="E102" t="s">
        <v>20</v>
      </c>
      <c r="F102" s="1">
        <v>2564</v>
      </c>
      <c r="G102" s="2">
        <v>859523</v>
      </c>
      <c r="H102" s="3">
        <v>370173</v>
      </c>
      <c r="I102" s="3">
        <v>489350</v>
      </c>
    </row>
    <row r="103" spans="1:9" x14ac:dyDescent="0.3">
      <c r="A103" t="s">
        <v>10</v>
      </c>
      <c r="B103" t="s">
        <v>7</v>
      </c>
      <c r="C103" t="s">
        <v>28</v>
      </c>
      <c r="D103" s="8">
        <v>2021</v>
      </c>
      <c r="E103" t="s">
        <v>18</v>
      </c>
      <c r="F103" s="1">
        <v>1212</v>
      </c>
      <c r="G103" s="2">
        <v>739573</v>
      </c>
      <c r="H103" s="3">
        <v>350407</v>
      </c>
      <c r="I103" s="3">
        <v>389166</v>
      </c>
    </row>
    <row r="104" spans="1:9" x14ac:dyDescent="0.3">
      <c r="A104" t="s">
        <v>5</v>
      </c>
      <c r="B104" t="s">
        <v>7</v>
      </c>
      <c r="C104" t="s">
        <v>28</v>
      </c>
      <c r="D104" s="8">
        <v>2021</v>
      </c>
      <c r="E104" t="s">
        <v>18</v>
      </c>
      <c r="F104" s="1">
        <v>2688</v>
      </c>
      <c r="G104" s="2">
        <v>828405</v>
      </c>
      <c r="H104" s="3">
        <v>386738</v>
      </c>
      <c r="I104" s="3">
        <v>441667</v>
      </c>
    </row>
    <row r="105" spans="1:9" x14ac:dyDescent="0.3">
      <c r="A105" t="s">
        <v>2</v>
      </c>
      <c r="B105" t="s">
        <v>11</v>
      </c>
      <c r="C105" t="s">
        <v>29</v>
      </c>
      <c r="D105" s="8">
        <v>2021</v>
      </c>
      <c r="E105" t="s">
        <v>18</v>
      </c>
      <c r="F105" s="1">
        <v>1022</v>
      </c>
      <c r="G105" s="2">
        <v>836648</v>
      </c>
      <c r="H105" s="3">
        <v>311932</v>
      </c>
      <c r="I105" s="3">
        <v>524716</v>
      </c>
    </row>
    <row r="106" spans="1:9" x14ac:dyDescent="0.3">
      <c r="A106" t="s">
        <v>2</v>
      </c>
      <c r="B106" t="s">
        <v>3</v>
      </c>
      <c r="C106" t="s">
        <v>31</v>
      </c>
      <c r="D106" s="8">
        <v>2021</v>
      </c>
      <c r="E106" t="s">
        <v>18</v>
      </c>
      <c r="F106" s="1">
        <v>1221</v>
      </c>
      <c r="G106" s="2">
        <v>702002</v>
      </c>
      <c r="H106" s="3">
        <v>341378</v>
      </c>
      <c r="I106" s="3">
        <v>360624</v>
      </c>
    </row>
    <row r="107" spans="1:9" x14ac:dyDescent="0.3">
      <c r="A107" t="s">
        <v>8</v>
      </c>
      <c r="B107" t="s">
        <v>11</v>
      </c>
      <c r="C107" t="s">
        <v>31</v>
      </c>
      <c r="D107" s="8">
        <v>2021</v>
      </c>
      <c r="E107" t="s">
        <v>18</v>
      </c>
      <c r="F107" s="1">
        <v>2103</v>
      </c>
      <c r="G107" s="2">
        <v>686049</v>
      </c>
      <c r="H107" s="3">
        <v>319534</v>
      </c>
      <c r="I107" s="3">
        <v>366515</v>
      </c>
    </row>
    <row r="108" spans="1:9" x14ac:dyDescent="0.3">
      <c r="A108" t="s">
        <v>5</v>
      </c>
      <c r="B108" t="s">
        <v>3</v>
      </c>
      <c r="C108" t="s">
        <v>24</v>
      </c>
      <c r="D108" s="8">
        <v>2021</v>
      </c>
      <c r="E108" t="s">
        <v>21</v>
      </c>
      <c r="F108" s="1">
        <v>2443</v>
      </c>
      <c r="G108" s="2">
        <v>936978</v>
      </c>
      <c r="H108" s="3">
        <v>340955</v>
      </c>
      <c r="I108" s="3">
        <v>596023</v>
      </c>
    </row>
    <row r="109" spans="1:9" x14ac:dyDescent="0.3">
      <c r="A109" t="s">
        <v>2</v>
      </c>
      <c r="B109" t="s">
        <v>3</v>
      </c>
      <c r="C109" t="s">
        <v>24</v>
      </c>
      <c r="D109" s="8">
        <v>2021</v>
      </c>
      <c r="E109" t="s">
        <v>21</v>
      </c>
      <c r="F109" s="1">
        <v>1946</v>
      </c>
      <c r="G109" s="2">
        <v>942104</v>
      </c>
      <c r="H109" s="3">
        <v>311302</v>
      </c>
      <c r="I109" s="3">
        <v>630802</v>
      </c>
    </row>
    <row r="110" spans="1:9" x14ac:dyDescent="0.3">
      <c r="A110" t="s">
        <v>2</v>
      </c>
      <c r="B110" t="s">
        <v>4</v>
      </c>
      <c r="C110" t="s">
        <v>24</v>
      </c>
      <c r="D110" s="8">
        <v>2021</v>
      </c>
      <c r="E110" t="s">
        <v>21</v>
      </c>
      <c r="F110" s="1">
        <v>645</v>
      </c>
      <c r="G110" s="2">
        <v>920128</v>
      </c>
      <c r="H110" s="3">
        <v>284116</v>
      </c>
      <c r="I110" s="3">
        <v>636012</v>
      </c>
    </row>
    <row r="111" spans="1:9" x14ac:dyDescent="0.3">
      <c r="A111" t="s">
        <v>2</v>
      </c>
      <c r="B111" t="s">
        <v>7</v>
      </c>
      <c r="C111" t="s">
        <v>22</v>
      </c>
      <c r="D111" s="8">
        <v>2021</v>
      </c>
      <c r="E111" t="s">
        <v>19</v>
      </c>
      <c r="F111" s="1">
        <v>1603</v>
      </c>
      <c r="G111" s="2">
        <v>831004</v>
      </c>
      <c r="H111" s="3">
        <v>401364</v>
      </c>
      <c r="I111" s="3">
        <v>429640</v>
      </c>
    </row>
    <row r="112" spans="1:9" x14ac:dyDescent="0.3">
      <c r="A112" t="s">
        <v>9</v>
      </c>
      <c r="B112" t="s">
        <v>6</v>
      </c>
      <c r="C112" t="s">
        <v>30</v>
      </c>
      <c r="D112" s="8">
        <v>2021</v>
      </c>
      <c r="E112" t="s">
        <v>19</v>
      </c>
      <c r="F112" s="1">
        <v>702</v>
      </c>
      <c r="G112" s="2">
        <v>959185</v>
      </c>
      <c r="H112" s="3">
        <v>281517</v>
      </c>
      <c r="I112" s="3">
        <v>677668</v>
      </c>
    </row>
    <row r="113" spans="1:9" x14ac:dyDescent="0.3">
      <c r="A113" t="s">
        <v>8</v>
      </c>
      <c r="B113" t="s">
        <v>4</v>
      </c>
      <c r="C113" t="s">
        <v>25</v>
      </c>
      <c r="D113" s="8">
        <v>2021</v>
      </c>
      <c r="E113" t="s">
        <v>19</v>
      </c>
      <c r="F113" s="1">
        <v>1371</v>
      </c>
      <c r="G113" s="2">
        <v>972551</v>
      </c>
      <c r="H113" s="3">
        <v>418606</v>
      </c>
      <c r="I113" s="3">
        <v>553945</v>
      </c>
    </row>
    <row r="114" spans="1:9" x14ac:dyDescent="0.3">
      <c r="A114" t="s">
        <v>2</v>
      </c>
      <c r="B114" t="s">
        <v>4</v>
      </c>
      <c r="C114" t="s">
        <v>23</v>
      </c>
      <c r="D114" s="8">
        <v>2021</v>
      </c>
      <c r="E114" t="s">
        <v>19</v>
      </c>
      <c r="F114" s="1">
        <v>1720</v>
      </c>
      <c r="G114" s="2">
        <v>865925</v>
      </c>
      <c r="H114" s="3">
        <v>271329</v>
      </c>
      <c r="I114" s="3">
        <v>594596</v>
      </c>
    </row>
    <row r="115" spans="1:9" x14ac:dyDescent="0.3">
      <c r="A115" t="s">
        <v>8</v>
      </c>
      <c r="B115" t="s">
        <v>4</v>
      </c>
      <c r="C115" t="s">
        <v>23</v>
      </c>
      <c r="D115" s="10">
        <v>2021</v>
      </c>
      <c r="E115" t="s">
        <v>21</v>
      </c>
      <c r="F115" s="1">
        <v>2053</v>
      </c>
      <c r="G115" s="2">
        <v>732742</v>
      </c>
      <c r="H115" s="3">
        <v>293675</v>
      </c>
      <c r="I115" s="3">
        <v>439067</v>
      </c>
    </row>
    <row r="116" spans="1:9" x14ac:dyDescent="0.3">
      <c r="A116" t="s">
        <v>9</v>
      </c>
      <c r="B116" t="s">
        <v>11</v>
      </c>
      <c r="C116" t="s">
        <v>27</v>
      </c>
      <c r="D116" s="10">
        <v>2021</v>
      </c>
      <c r="E116" t="s">
        <v>21</v>
      </c>
      <c r="F116" s="1">
        <v>2553</v>
      </c>
      <c r="G116" s="2">
        <v>942717</v>
      </c>
      <c r="H116" s="3">
        <v>355849</v>
      </c>
      <c r="I116" s="3">
        <v>586868</v>
      </c>
    </row>
    <row r="117" spans="1:9" x14ac:dyDescent="0.3">
      <c r="A117" t="s">
        <v>9</v>
      </c>
      <c r="B117" t="s">
        <v>3</v>
      </c>
      <c r="C117" t="s">
        <v>29</v>
      </c>
      <c r="D117" s="10">
        <v>2021</v>
      </c>
      <c r="E117" t="s">
        <v>21</v>
      </c>
      <c r="F117" s="1">
        <v>1050</v>
      </c>
      <c r="G117" s="2">
        <v>988598</v>
      </c>
      <c r="H117" s="3">
        <v>393388</v>
      </c>
      <c r="I117" s="3">
        <v>595210</v>
      </c>
    </row>
    <row r="118" spans="1:9" x14ac:dyDescent="0.3">
      <c r="A118" t="s">
        <v>10</v>
      </c>
      <c r="B118" t="s">
        <v>3</v>
      </c>
      <c r="C118" t="s">
        <v>30</v>
      </c>
      <c r="D118" s="10">
        <v>2021</v>
      </c>
      <c r="E118" t="s">
        <v>21</v>
      </c>
      <c r="F118" s="1">
        <v>916</v>
      </c>
      <c r="G118" s="2">
        <v>746494</v>
      </c>
      <c r="H118" s="3">
        <v>256728</v>
      </c>
      <c r="I118" s="3">
        <v>489766</v>
      </c>
    </row>
    <row r="119" spans="1:9" x14ac:dyDescent="0.3">
      <c r="A119" t="s">
        <v>2</v>
      </c>
      <c r="B119" t="s">
        <v>3</v>
      </c>
      <c r="C119" t="s">
        <v>22</v>
      </c>
      <c r="D119" s="10">
        <v>2022</v>
      </c>
      <c r="E119" t="s">
        <v>18</v>
      </c>
      <c r="F119" s="1">
        <v>1619</v>
      </c>
      <c r="G119" s="2">
        <v>32370</v>
      </c>
      <c r="H119" s="3">
        <v>16185</v>
      </c>
      <c r="I119" s="3">
        <v>16185</v>
      </c>
    </row>
    <row r="120" spans="1:9" x14ac:dyDescent="0.3">
      <c r="A120" t="s">
        <v>2</v>
      </c>
      <c r="B120" t="s">
        <v>4</v>
      </c>
      <c r="C120" t="s">
        <v>22</v>
      </c>
      <c r="D120" s="10">
        <v>2022</v>
      </c>
      <c r="E120" t="s">
        <v>18</v>
      </c>
      <c r="F120" s="1">
        <v>1321</v>
      </c>
      <c r="G120" s="2">
        <v>26420</v>
      </c>
      <c r="H120" s="3">
        <v>13210</v>
      </c>
      <c r="I120" s="3">
        <v>13210</v>
      </c>
    </row>
    <row r="121" spans="1:9" x14ac:dyDescent="0.3">
      <c r="A121" t="s">
        <v>5</v>
      </c>
      <c r="B121" t="s">
        <v>6</v>
      </c>
      <c r="C121" t="s">
        <v>22</v>
      </c>
      <c r="D121" s="10">
        <v>2022</v>
      </c>
      <c r="E121" t="s">
        <v>18</v>
      </c>
      <c r="F121" s="1">
        <v>2178</v>
      </c>
      <c r="G121" s="2">
        <v>32670</v>
      </c>
      <c r="H121" s="3">
        <v>21780</v>
      </c>
      <c r="I121" s="3">
        <v>10890</v>
      </c>
    </row>
    <row r="122" spans="1:9" x14ac:dyDescent="0.3">
      <c r="A122" t="s">
        <v>5</v>
      </c>
      <c r="B122" t="s">
        <v>4</v>
      </c>
      <c r="C122" t="s">
        <v>22</v>
      </c>
      <c r="D122" s="10">
        <v>2022</v>
      </c>
      <c r="E122" t="s">
        <v>18</v>
      </c>
      <c r="F122" s="1">
        <v>888</v>
      </c>
      <c r="G122" s="2">
        <v>13320</v>
      </c>
      <c r="H122" s="3">
        <v>8880</v>
      </c>
      <c r="I122" s="3">
        <v>4440</v>
      </c>
    </row>
    <row r="123" spans="1:9" x14ac:dyDescent="0.3">
      <c r="A123" t="s">
        <v>5</v>
      </c>
      <c r="B123" t="s">
        <v>7</v>
      </c>
      <c r="C123" t="s">
        <v>22</v>
      </c>
      <c r="D123" s="10">
        <v>2022</v>
      </c>
      <c r="E123" t="s">
        <v>18</v>
      </c>
      <c r="F123" s="1">
        <v>2470</v>
      </c>
      <c r="G123" s="2">
        <v>37050</v>
      </c>
      <c r="H123" s="3">
        <v>24700</v>
      </c>
      <c r="I123" s="3">
        <v>12350</v>
      </c>
    </row>
    <row r="124" spans="1:9" x14ac:dyDescent="0.3">
      <c r="A124" t="s">
        <v>2</v>
      </c>
      <c r="B124" t="s">
        <v>4</v>
      </c>
      <c r="C124" t="s">
        <v>30</v>
      </c>
      <c r="D124" s="10">
        <v>2022</v>
      </c>
      <c r="E124" t="s">
        <v>18</v>
      </c>
      <c r="F124" s="1">
        <v>1513</v>
      </c>
      <c r="G124" s="2">
        <v>529550</v>
      </c>
      <c r="H124" s="3">
        <v>393380</v>
      </c>
      <c r="I124" s="3">
        <v>136170</v>
      </c>
    </row>
    <row r="125" spans="1:9" x14ac:dyDescent="0.3">
      <c r="A125" t="s">
        <v>5</v>
      </c>
      <c r="B125" t="s">
        <v>4</v>
      </c>
      <c r="C125" t="s">
        <v>30</v>
      </c>
      <c r="D125" s="10">
        <v>2022</v>
      </c>
      <c r="E125" t="s">
        <v>18</v>
      </c>
      <c r="F125" s="1">
        <v>921</v>
      </c>
      <c r="G125" s="2">
        <v>13815</v>
      </c>
      <c r="H125" s="3">
        <v>9210</v>
      </c>
      <c r="I125" s="3">
        <v>4605</v>
      </c>
    </row>
    <row r="126" spans="1:9" x14ac:dyDescent="0.3">
      <c r="A126" t="s">
        <v>8</v>
      </c>
      <c r="B126" t="s">
        <v>3</v>
      </c>
      <c r="C126" t="s">
        <v>30</v>
      </c>
      <c r="D126" s="10">
        <v>2022</v>
      </c>
      <c r="E126" t="s">
        <v>18</v>
      </c>
      <c r="F126" s="1">
        <v>2518</v>
      </c>
      <c r="G126" s="2">
        <v>30216</v>
      </c>
      <c r="H126" s="3">
        <v>7554</v>
      </c>
      <c r="I126" s="3">
        <v>22662</v>
      </c>
    </row>
    <row r="127" spans="1:9" x14ac:dyDescent="0.3">
      <c r="A127" t="s">
        <v>2</v>
      </c>
      <c r="B127" t="s">
        <v>6</v>
      </c>
      <c r="C127" t="s">
        <v>30</v>
      </c>
      <c r="D127" s="10">
        <v>2022</v>
      </c>
      <c r="E127" t="s">
        <v>18</v>
      </c>
      <c r="F127" s="1">
        <v>1899</v>
      </c>
      <c r="G127" s="2">
        <v>37980</v>
      </c>
      <c r="H127" s="3">
        <v>18990</v>
      </c>
      <c r="I127" s="3">
        <v>18990</v>
      </c>
    </row>
    <row r="128" spans="1:9" x14ac:dyDescent="0.3">
      <c r="A128" t="s">
        <v>8</v>
      </c>
      <c r="B128" t="s">
        <v>4</v>
      </c>
      <c r="C128" t="s">
        <v>30</v>
      </c>
      <c r="D128" s="10">
        <v>2022</v>
      </c>
      <c r="E128" t="s">
        <v>19</v>
      </c>
      <c r="F128" s="1">
        <v>1545</v>
      </c>
      <c r="G128" s="2">
        <v>18540</v>
      </c>
      <c r="H128" s="3">
        <v>4635</v>
      </c>
      <c r="I128" s="3">
        <v>13905</v>
      </c>
    </row>
    <row r="129" spans="1:9" x14ac:dyDescent="0.3">
      <c r="A129" t="s">
        <v>5</v>
      </c>
      <c r="B129" t="s">
        <v>7</v>
      </c>
      <c r="C129" t="s">
        <v>30</v>
      </c>
      <c r="D129" s="10">
        <v>2022</v>
      </c>
      <c r="E129" t="s">
        <v>19</v>
      </c>
      <c r="F129" s="1">
        <v>2470</v>
      </c>
      <c r="G129" s="2">
        <v>37050</v>
      </c>
      <c r="H129" s="3">
        <v>24700</v>
      </c>
      <c r="I129" s="3">
        <v>12350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2C72-F3D9-491A-9337-3100E41276EC}">
  <sheetPr>
    <tabColor rgb="FF002060"/>
  </sheetPr>
  <dimension ref="G1:X36"/>
  <sheetViews>
    <sheetView showGridLines="0" showRowColHeaders="0" tabSelected="1" view="pageBreakPreview" zoomScale="70" zoomScaleNormal="54" zoomScaleSheetLayoutView="70" workbookViewId="0">
      <selection activeCell="V1" sqref="V1"/>
    </sheetView>
  </sheetViews>
  <sheetFormatPr defaultRowHeight="14.4" x14ac:dyDescent="0.3"/>
  <cols>
    <col min="1" max="16384" width="8.88671875" style="15"/>
  </cols>
  <sheetData>
    <row r="1" spans="7:24" ht="82.8" x14ac:dyDescent="1.5">
      <c r="G1" s="16"/>
      <c r="H1" s="16"/>
      <c r="I1" s="16"/>
      <c r="J1" s="16"/>
      <c r="K1" s="16"/>
      <c r="L1" s="16"/>
      <c r="M1" s="16"/>
      <c r="N1" s="16"/>
      <c r="O1" s="16"/>
      <c r="P1" s="16"/>
      <c r="Q1" s="16"/>
      <c r="R1" s="16"/>
      <c r="S1" s="16"/>
      <c r="T1" s="16"/>
      <c r="U1" s="16"/>
      <c r="V1" s="16"/>
      <c r="W1" s="16"/>
      <c r="X1" s="16"/>
    </row>
    <row r="17" s="15" customFormat="1" x14ac:dyDescent="0.3"/>
    <row r="18" s="15" customFormat="1" x14ac:dyDescent="0.3"/>
    <row r="19" s="15" customFormat="1" x14ac:dyDescent="0.3"/>
    <row r="20" s="15" customFormat="1" x14ac:dyDescent="0.3"/>
    <row r="21" s="15" customFormat="1" x14ac:dyDescent="0.3"/>
    <row r="22" s="15" customFormat="1" x14ac:dyDescent="0.3"/>
    <row r="23" s="15" customFormat="1" x14ac:dyDescent="0.3"/>
    <row r="24" s="15" customFormat="1" x14ac:dyDescent="0.3"/>
    <row r="25" s="15" customFormat="1" x14ac:dyDescent="0.3"/>
    <row r="26" s="15" customFormat="1" x14ac:dyDescent="0.3"/>
    <row r="27" s="15" customFormat="1" x14ac:dyDescent="0.3"/>
    <row r="28" s="15" customFormat="1" x14ac:dyDescent="0.3"/>
    <row r="29" s="15" customFormat="1" x14ac:dyDescent="0.3"/>
    <row r="30" s="15" customFormat="1" x14ac:dyDescent="0.3"/>
    <row r="31" s="15" customFormat="1" x14ac:dyDescent="0.3"/>
    <row r="32" s="15" customFormat="1" x14ac:dyDescent="0.3"/>
    <row r="33" s="15" customFormat="1" x14ac:dyDescent="0.3"/>
    <row r="34" s="15" customFormat="1" x14ac:dyDescent="0.3"/>
    <row r="35" s="15" customFormat="1" x14ac:dyDescent="0.3"/>
    <row r="36" s="15" customFormat="1" x14ac:dyDescent="0.3"/>
  </sheetData>
  <printOptions horizontalCentered="1"/>
  <pageMargins left="0.45" right="0.45" top="0.5" bottom="0.5" header="0.3" footer="0.3"/>
  <pageSetup scale="41"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PivotTable</vt:lpstr>
      <vt:lpstr>Data</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Hagar Daihom</cp:lastModifiedBy>
  <cp:lastPrinted>2022-03-06T06:40:18Z</cp:lastPrinted>
  <dcterms:created xsi:type="dcterms:W3CDTF">2022-03-03T18:39:27Z</dcterms:created>
  <dcterms:modified xsi:type="dcterms:W3CDTF">2026-08-07T09:42:56Z</dcterms:modified>
</cp:coreProperties>
</file>